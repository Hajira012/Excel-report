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ju\"/>
    </mc:Choice>
  </mc:AlternateContent>
  <xr:revisionPtr revIDLastSave="0" documentId="8_{A5161583-4496-4081-9947-354303EE64A5}" xr6:coauthVersionLast="47" xr6:coauthVersionMax="47" xr10:uidLastSave="{00000000-0000-0000-0000-000000000000}"/>
  <bookViews>
    <workbookView xWindow="-120" yWindow="-120" windowWidth="20730" windowHeight="11160" xr2:uid="{082F78D2-2593-45C1-BC53-8B96B81FCE19}"/>
  </bookViews>
  <sheets>
    <sheet name="Calculatio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2" i="1"/>
  <c r="C11" i="1"/>
  <c r="C13" i="1" s="1"/>
  <c r="C15" i="1" s="1"/>
  <c r="F3" i="1" s="1"/>
  <c r="J3" i="1" l="1"/>
</calcChain>
</file>

<file path=xl/sharedStrings.xml><?xml version="1.0" encoding="utf-8"?>
<sst xmlns="http://schemas.openxmlformats.org/spreadsheetml/2006/main" count="17" uniqueCount="16">
  <si>
    <t>Units sold</t>
  </si>
  <si>
    <t>(Selling) Price per unit</t>
  </si>
  <si>
    <t>Inputs</t>
  </si>
  <si>
    <t>Profit &amp; Loss Calculations (formulas)</t>
  </si>
  <si>
    <t>Revenue</t>
  </si>
  <si>
    <t>Cost of sales</t>
  </si>
  <si>
    <t>Production cost per unit</t>
  </si>
  <si>
    <t>Payroll</t>
  </si>
  <si>
    <t>Building lease</t>
  </si>
  <si>
    <t>Gross profit</t>
  </si>
  <si>
    <t>Fixed costs</t>
  </si>
  <si>
    <t>Net profit</t>
  </si>
  <si>
    <t>Energy costs</t>
  </si>
  <si>
    <t>Selling price</t>
  </si>
  <si>
    <t>One variable table</t>
  </si>
  <si>
    <t>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</si>
</sst>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&quot;£&quot;#,##0.00"/>
    <numFmt numFmtId="166" formatCode="&quot;£&quot;#,##0"/>
    <numFmt numFmtId="167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/>
    <xf numFmtId="165" fontId="0" fillId="0" borderId="0" xfId="0" applyNumberFormat="1"/>
    <xf numFmtId="166" fontId="0" fillId="0" borderId="0" xfId="0" applyNumberFormat="1"/>
    <xf numFmtId="167" fontId="0" fillId="0" borderId="0" xfId="1" applyNumberFormat="1" applyFont="1"/>
    <xf numFmtId="165" fontId="2" fillId="2" borderId="0" xfId="0" applyNumberFormat="1" applyFont="1" applyFill="1"/>
    <xf numFmtId="3" fontId="2" fillId="2" borderId="0" xfId="0" applyNumberFormat="1" applyFont="1" applyFill="1"/>
    <xf numFmtId="166" fontId="0" fillId="2" borderId="0" xfId="0" applyNumberFormat="1" applyFill="1"/>
    <xf numFmtId="0" fontId="2" fillId="2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6653-A0A6-492C-9D79-9355C26468B5}">
  <dimension ref="B2:O15"/>
  <sheetViews>
    <sheetView tabSelected="1" zoomScale="95" zoomScaleNormal="9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P20" sqref="P20"/>
    </sheetView>
  </sheetViews>
  <sheetFormatPr defaultRowHeight="15" x14ac:dyDescent="0.25"/>
  <cols>
    <col min="2" max="2" width="21.7109375" customWidth="1"/>
    <col min="3" max="3" width="12.7109375" bestFit="1" customWidth="1"/>
    <col min="5" max="5" width="10.7109375" bestFit="1" customWidth="1"/>
    <col min="6" max="6" width="11.28515625" bestFit="1" customWidth="1"/>
    <col min="7" max="8" width="11.28515625" customWidth="1"/>
    <col min="9" max="10" width="10.7109375" bestFit="1" customWidth="1"/>
    <col min="11" max="18" width="11.28515625" bestFit="1" customWidth="1"/>
  </cols>
  <sheetData>
    <row r="2" spans="2:15" x14ac:dyDescent="0.25">
      <c r="B2" s="1" t="s">
        <v>2</v>
      </c>
      <c r="C2" s="1"/>
      <c r="E2" s="1" t="s">
        <v>14</v>
      </c>
      <c r="F2" s="1"/>
      <c r="G2" s="1"/>
      <c r="K2" t="s">
        <v>15</v>
      </c>
    </row>
    <row r="3" spans="2:15" x14ac:dyDescent="0.25">
      <c r="B3" t="s">
        <v>0</v>
      </c>
      <c r="C3" s="4">
        <v>10000</v>
      </c>
      <c r="E3" t="s">
        <v>13</v>
      </c>
      <c r="F3" s="3">
        <f>C15</f>
        <v>181400</v>
      </c>
      <c r="J3" s="7">
        <f>C15</f>
        <v>181400</v>
      </c>
      <c r="K3" s="6">
        <v>8000</v>
      </c>
      <c r="L3" s="6">
        <v>8500</v>
      </c>
      <c r="M3" s="6">
        <v>9000</v>
      </c>
      <c r="N3" s="6">
        <v>9500</v>
      </c>
      <c r="O3" s="6">
        <v>10000</v>
      </c>
    </row>
    <row r="4" spans="2:15" x14ac:dyDescent="0.25">
      <c r="B4" t="s">
        <v>1</v>
      </c>
      <c r="C4" s="2">
        <v>99.99</v>
      </c>
      <c r="E4" s="2">
        <v>79.989999999999995</v>
      </c>
      <c r="F4" s="3">
        <f t="dataTable" ref="F4:F14" dt2D="0" dtr="0" r1="C4"/>
        <v>-18600</v>
      </c>
      <c r="I4" t="s">
        <v>13</v>
      </c>
      <c r="J4" s="5">
        <v>79.989999999999995</v>
      </c>
      <c r="K4">
        <f t="dataTable" ref="K4:O14" dt2D="1" dtr="1" r1="C3" r2="C4" ca="1"/>
        <v>-94280</v>
      </c>
      <c r="L4">
        <v>-75360</v>
      </c>
      <c r="M4">
        <v>-56440</v>
      </c>
      <c r="N4">
        <v>-37520</v>
      </c>
      <c r="O4">
        <v>-18600</v>
      </c>
    </row>
    <row r="5" spans="2:15" x14ac:dyDescent="0.25">
      <c r="B5" t="s">
        <v>6</v>
      </c>
      <c r="C5" s="2">
        <v>42.15</v>
      </c>
      <c r="E5" s="2">
        <v>84.99</v>
      </c>
      <c r="F5" s="3">
        <v>31400</v>
      </c>
      <c r="J5" s="5">
        <v>84.99</v>
      </c>
      <c r="K5">
        <v>-54280</v>
      </c>
      <c r="L5">
        <v>-32860</v>
      </c>
      <c r="M5">
        <v>-11440</v>
      </c>
      <c r="N5">
        <v>9980</v>
      </c>
      <c r="O5">
        <v>31400</v>
      </c>
    </row>
    <row r="6" spans="2:15" x14ac:dyDescent="0.25">
      <c r="B6" t="s">
        <v>7</v>
      </c>
      <c r="C6" s="3">
        <v>256000</v>
      </c>
      <c r="E6" s="2">
        <v>89.99</v>
      </c>
      <c r="F6" s="3">
        <v>81400</v>
      </c>
      <c r="J6" s="5">
        <v>89.99</v>
      </c>
      <c r="K6">
        <v>-14280</v>
      </c>
      <c r="L6">
        <v>9640</v>
      </c>
      <c r="M6">
        <v>33560</v>
      </c>
      <c r="N6">
        <v>57480</v>
      </c>
      <c r="O6">
        <v>81400</v>
      </c>
    </row>
    <row r="7" spans="2:15" x14ac:dyDescent="0.25">
      <c r="B7" t="s">
        <v>8</v>
      </c>
      <c r="C7" s="3">
        <v>90000</v>
      </c>
      <c r="E7" s="2">
        <v>94.99</v>
      </c>
      <c r="F7" s="3">
        <v>131400</v>
      </c>
      <c r="J7" s="5">
        <v>94.99</v>
      </c>
      <c r="K7">
        <v>25720</v>
      </c>
      <c r="L7">
        <v>52140</v>
      </c>
      <c r="M7">
        <v>78560</v>
      </c>
      <c r="N7">
        <v>104980</v>
      </c>
      <c r="O7">
        <v>131400</v>
      </c>
    </row>
    <row r="8" spans="2:15" x14ac:dyDescent="0.25">
      <c r="B8" t="s">
        <v>12</v>
      </c>
      <c r="C8" s="3">
        <v>51000</v>
      </c>
      <c r="E8" s="2">
        <v>99.99</v>
      </c>
      <c r="F8" s="3">
        <v>181400</v>
      </c>
      <c r="J8" s="5">
        <v>99.99</v>
      </c>
      <c r="K8">
        <v>65720</v>
      </c>
      <c r="L8">
        <v>94640</v>
      </c>
      <c r="M8">
        <v>123560</v>
      </c>
      <c r="N8">
        <v>152480</v>
      </c>
      <c r="O8">
        <v>181400</v>
      </c>
    </row>
    <row r="9" spans="2:15" x14ac:dyDescent="0.25">
      <c r="E9" s="2">
        <v>104.99</v>
      </c>
      <c r="F9" s="3">
        <v>231400</v>
      </c>
      <c r="J9" s="5">
        <v>104.99</v>
      </c>
      <c r="K9">
        <v>105720</v>
      </c>
      <c r="L9">
        <v>137140</v>
      </c>
      <c r="M9">
        <v>168560</v>
      </c>
      <c r="N9">
        <v>199980</v>
      </c>
      <c r="O9">
        <v>231400</v>
      </c>
    </row>
    <row r="10" spans="2:15" x14ac:dyDescent="0.25">
      <c r="B10" s="8" t="s">
        <v>3</v>
      </c>
      <c r="C10" s="8"/>
      <c r="E10" s="2">
        <v>109.99</v>
      </c>
      <c r="F10" s="3">
        <v>281400</v>
      </c>
      <c r="J10" s="5">
        <v>109.99</v>
      </c>
      <c r="K10">
        <v>145720</v>
      </c>
      <c r="L10">
        <v>179640</v>
      </c>
      <c r="M10">
        <v>213560</v>
      </c>
      <c r="N10">
        <v>247480</v>
      </c>
      <c r="O10">
        <v>281400</v>
      </c>
    </row>
    <row r="11" spans="2:15" x14ac:dyDescent="0.25">
      <c r="B11" t="s">
        <v>4</v>
      </c>
      <c r="C11" s="3">
        <f>C3*C4</f>
        <v>999900</v>
      </c>
      <c r="E11" s="2">
        <v>114.99</v>
      </c>
      <c r="F11" s="3">
        <v>331400</v>
      </c>
      <c r="J11" s="5">
        <v>114.99</v>
      </c>
      <c r="K11">
        <v>185720</v>
      </c>
      <c r="L11">
        <v>222140</v>
      </c>
      <c r="M11">
        <v>258560</v>
      </c>
      <c r="N11">
        <v>294980</v>
      </c>
      <c r="O11">
        <v>331400</v>
      </c>
    </row>
    <row r="12" spans="2:15" x14ac:dyDescent="0.25">
      <c r="B12" t="s">
        <v>5</v>
      </c>
      <c r="C12" s="3">
        <f>C3*C5</f>
        <v>421500</v>
      </c>
      <c r="E12" s="2">
        <v>119.99</v>
      </c>
      <c r="F12" s="3">
        <v>381400</v>
      </c>
      <c r="J12" s="5">
        <v>119.99</v>
      </c>
      <c r="K12">
        <v>225720</v>
      </c>
      <c r="L12">
        <v>264640</v>
      </c>
      <c r="M12">
        <v>303560</v>
      </c>
      <c r="N12">
        <v>342480</v>
      </c>
      <c r="O12">
        <v>381400</v>
      </c>
    </row>
    <row r="13" spans="2:15" x14ac:dyDescent="0.25">
      <c r="B13" t="s">
        <v>9</v>
      </c>
      <c r="C13" s="3">
        <f>C11-C12</f>
        <v>578400</v>
      </c>
      <c r="E13" s="2">
        <v>124.99</v>
      </c>
      <c r="F13" s="3">
        <v>431400</v>
      </c>
      <c r="J13" s="5">
        <v>124.99</v>
      </c>
      <c r="K13">
        <v>265720</v>
      </c>
      <c r="L13">
        <v>307140</v>
      </c>
      <c r="M13">
        <v>348560</v>
      </c>
      <c r="N13">
        <v>389980</v>
      </c>
      <c r="O13">
        <v>431400</v>
      </c>
    </row>
    <row r="14" spans="2:15" x14ac:dyDescent="0.25">
      <c r="B14" t="s">
        <v>10</v>
      </c>
      <c r="C14" s="3">
        <f>C6+C7+C8</f>
        <v>397000</v>
      </c>
      <c r="E14" s="2">
        <v>129.99</v>
      </c>
      <c r="F14" s="3">
        <v>481400</v>
      </c>
      <c r="J14" s="5">
        <v>129.99</v>
      </c>
      <c r="K14">
        <v>305720.00000000012</v>
      </c>
      <c r="L14">
        <v>349640</v>
      </c>
      <c r="M14">
        <v>393560</v>
      </c>
      <c r="N14">
        <v>437480</v>
      </c>
      <c r="O14">
        <v>481400</v>
      </c>
    </row>
    <row r="15" spans="2:15" x14ac:dyDescent="0.25">
      <c r="B15" t="s">
        <v>11</v>
      </c>
      <c r="C15" s="3">
        <f>C13-C14</f>
        <v>181400</v>
      </c>
    </row>
  </sheetData>
  <mergeCells count="1"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Chester Tugwell</dc:creator>
  <cp:lastModifiedBy>ajukkty@gmail.com</cp:lastModifiedBy>
  <dcterms:created xsi:type="dcterms:W3CDTF">2022-02-01T14:00:28Z</dcterms:created>
  <dcterms:modified xsi:type="dcterms:W3CDTF">2026-07-05T15:49:59Z</dcterms:modified>
</cp:coreProperties>
</file>