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5DF0363-31E7-4A8D-AAB4-A9FE4904D7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1" sheetId="2" r:id="rId1"/>
    <sheet name="DASHBORD" sheetId="3" r:id="rId2"/>
    <sheet name="SalesData" sheetId="1" r:id="rId3"/>
  </sheets>
  <definedNames>
    <definedName name="ExternalData_1" localSheetId="0" hidden="1">Table1!$A$1:$M$101</definedName>
  </definedNames>
  <calcPr calcId="191029"/>
  <pivotCaches>
    <pivotCache cacheId="12" r:id="rId4"/>
  </pivotCaches>
</workbook>
</file>

<file path=xl/calcChain.xml><?xml version="1.0" encoding="utf-8"?>
<calcChain xmlns="http://schemas.openxmlformats.org/spreadsheetml/2006/main">
  <c r="T9" i="2" l="1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T7" i="2" s="1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T6" i="2" l="1"/>
  <c r="T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E0038E-5B3D-46A4-81DE-D0DC4F87A22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<sst xmlns="http://schemas.openxmlformats.org/spreadsheetml/2006/main" count="1646" uniqueCount="170">
  <si>
    <t>Order ID</t>
  </si>
  <si>
    <t>Order Date</t>
  </si>
  <si>
    <t>Customer Name</t>
  </si>
  <si>
    <t>City</t>
  </si>
  <si>
    <t>Department</t>
  </si>
  <si>
    <t>Product</t>
  </si>
  <si>
    <t>Salesperson</t>
  </si>
  <si>
    <t>Quantity</t>
  </si>
  <si>
    <t>Unit Price</t>
  </si>
  <si>
    <t>Discount %</t>
  </si>
  <si>
    <t xml:space="preserve">Status </t>
  </si>
  <si>
    <t>Payment Method</t>
  </si>
  <si>
    <t>Remarks</t>
  </si>
  <si>
    <t>Customer 1</t>
  </si>
  <si>
    <t>Kannur</t>
  </si>
  <si>
    <t>Office Supplies</t>
  </si>
  <si>
    <t>Notebook</t>
  </si>
  <si>
    <t>Aisha</t>
  </si>
  <si>
    <t xml:space="preserve"> pending</t>
  </si>
  <si>
    <t>UPI</t>
  </si>
  <si>
    <t xml:space="preserve">repeat customer </t>
  </si>
  <si>
    <t>Customer 2</t>
  </si>
  <si>
    <t xml:space="preserve">Pending </t>
  </si>
  <si>
    <t>Customer 3</t>
  </si>
  <si>
    <t xml:space="preserve">CALICUT </t>
  </si>
  <si>
    <t>Furniture</t>
  </si>
  <si>
    <t>Chair</t>
  </si>
  <si>
    <t>Neha</t>
  </si>
  <si>
    <t>completed</t>
  </si>
  <si>
    <t>Card</t>
  </si>
  <si>
    <t>Customer 4</t>
  </si>
  <si>
    <t>thrissur</t>
  </si>
  <si>
    <t>Desk</t>
  </si>
  <si>
    <t>Cash</t>
  </si>
  <si>
    <t>Customer 5</t>
  </si>
  <si>
    <t xml:space="preserve"> Trivandrum</t>
  </si>
  <si>
    <t>Electronics</t>
  </si>
  <si>
    <t>Keyboard</t>
  </si>
  <si>
    <t>Customer 6</t>
  </si>
  <si>
    <t>Mouse</t>
  </si>
  <si>
    <t>Arun</t>
  </si>
  <si>
    <t xml:space="preserve"> urgent</t>
  </si>
  <si>
    <t>Customer 7</t>
  </si>
  <si>
    <t xml:space="preserve"> kochi</t>
  </si>
  <si>
    <t>Customer 8</t>
  </si>
  <si>
    <t>Pen Set</t>
  </si>
  <si>
    <t>Rahul</t>
  </si>
  <si>
    <t>Customer 9</t>
  </si>
  <si>
    <t xml:space="preserve"> new lead</t>
  </si>
  <si>
    <t>Customer 10</t>
  </si>
  <si>
    <t>Customer 11</t>
  </si>
  <si>
    <t>Customer 12</t>
  </si>
  <si>
    <t>Customer 13</t>
  </si>
  <si>
    <t>Customer 14</t>
  </si>
  <si>
    <t>Laptop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</si>
  <si>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</si>
  <si>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</si>
  <si>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</si>
  <si>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</si>
  <si>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</si>
  <si>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</si>
  <si>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</si>
  <si>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</si>
  <si>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</si>
  <si>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</si>
  <si>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</si>
  <si>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</si>
  <si>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</si>
  <si>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</si>
  <si>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</si>
  <si>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</si>
  <si>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</si>
  <si>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</si>
  <si>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</si>
  <si>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</si>
  <si>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</si>
  <si>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</si>
  <si>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</si>
  <si>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</si>
  <si>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</si>
  <si>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</si>
  <si>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</si>
  <si>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</si>
  <si>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</si>
  <si>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</si>
  <si>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</si>
  <si>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</si>
  <si>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</si>
  <si>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</si>
  <si>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</si>
  <si>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</si>
  <si>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</si>
  <si>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</si>
  <si>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</si>
  <si>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</si>
  <si>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</si>
  <si>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</si>
  <si>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</si>
  <si>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</si>
  <si>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</si>
  <si>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</si>
  <si>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</si>
  <si>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</si>
  <si>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</si>
  <si>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</si>
  <si>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</si>
  <si>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</si>
  <si>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</si>
  <si>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</si>
  <si>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</si>
  <si>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</si>
  <si>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</si>
  <si>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</si>
  <si>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</si>
  <si>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</si>
  <si>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</si>
  <si>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</si>
  <si>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</si>
  <si>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</si>
  <si>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</si>
  <si>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</si>
  <si>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</si>
  <si>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</si>
  <si>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</si>
  <si>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</si>
  <si>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</si>
  <si>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</si>
  <si>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</si>
  <si>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</si>
  <si>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</si>
  <si>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</si>
  <si>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</si>
  <si>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</si>
  <si>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</si>
  <si>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</si>
  <si>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</si>
  <si>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</si>
  <si>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</si>
  <si>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</si>
  <si>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</si>
  <si>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</si>
  <si>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Pending</t>
  </si>
  <si>
    <t>Upi</t>
  </si>
  <si>
    <t>Calicut</t>
  </si>
  <si>
    <t>Completed</t>
  </si>
  <si>
    <t>Thrissur</t>
  </si>
  <si>
    <t>Trivandrum</t>
  </si>
  <si>
    <t>Kochi</t>
  </si>
  <si>
    <t>Repeat Customer</t>
  </si>
  <si>
    <t>Urgent</t>
  </si>
  <si>
    <t>New Lead</t>
  </si>
  <si>
    <t>Column1</t>
  </si>
  <si>
    <t>No Remark</t>
  </si>
  <si>
    <t>revenu</t>
  </si>
  <si>
    <t>order category</t>
  </si>
  <si>
    <t>city category</t>
  </si>
  <si>
    <t>TOTAL SALES</t>
  </si>
  <si>
    <t>SUM</t>
  </si>
  <si>
    <t>TOTAL LAPTOP SALES</t>
  </si>
  <si>
    <t>SUMIF</t>
  </si>
  <si>
    <t>HIGHEST REVENUE IN KANNUR</t>
  </si>
  <si>
    <t>MAXIFS</t>
  </si>
  <si>
    <t>Column2</t>
  </si>
  <si>
    <t>Column3</t>
  </si>
  <si>
    <t>AVERAGE REVENUE</t>
  </si>
  <si>
    <t>AVERAGE</t>
  </si>
  <si>
    <t>Row Labels</t>
  </si>
  <si>
    <t>Grand Total</t>
  </si>
  <si>
    <t>Sum of revenu</t>
  </si>
  <si>
    <t>Average of revenu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</si>
</sst>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[HAJIRA ISMAIL, COMPANY SET DATASET.xlsx]Table1!PivotTable2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Table1!$S$11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Table1!$R$12:$R$15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Table1!$S$12:$S$15</c:f>
              <c:numCache>
                <c:formatCode>General</c:formatCode>
                <c:ptCount val="3"/>
                <c:pt idx="0">
                  <c:v>316210</c:v>
                </c:pt>
                <c:pt idx="1">
                  <c:v>489860</c:v>
                </c:pt>
                <c:pt idx="2">
                  <c:v>509524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F-413C-98FE-0C150CEE4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3620616"/>
        <c:axId val="1073615936"/>
        <c:axId val="0"/>
      </c:bar3DChart>
      <c:catAx>
        <c:axId val="107362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615936"/>
        <c:crosses val="autoZero"/>
        <c:auto val="1"/>
        <c:lblAlgn val="ctr"/>
        <c:lblOffset val="100"/>
        <c:noMultiLvlLbl val="0"/>
      </c:catAx>
      <c:valAx>
        <c:axId val="10736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62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2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[HAJIRA ISMAIL, COMPANY SET DATASET.xlsx]Table1!PivotTable3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Table1!$S$21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Table1!$R$22:$R$29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Table1!$S$22:$S$29</c:f>
              <c:numCache>
                <c:formatCode>General</c:formatCode>
                <c:ptCount val="7"/>
                <c:pt idx="0">
                  <c:v>272811</c:v>
                </c:pt>
                <c:pt idx="1">
                  <c:v>217049</c:v>
                </c:pt>
                <c:pt idx="2">
                  <c:v>99916</c:v>
                </c:pt>
                <c:pt idx="3">
                  <c:v>117749</c:v>
                </c:pt>
                <c:pt idx="4">
                  <c:v>98545</c:v>
                </c:pt>
                <c:pt idx="5">
                  <c:v>286103</c:v>
                </c:pt>
                <c:pt idx="6">
                  <c:v>223421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7-4FC3-AB33-ABAFF7FA4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2838360"/>
        <c:axId val="1072838000"/>
        <c:axId val="0"/>
      </c:bar3DChart>
      <c:catAx>
        <c:axId val="1072838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38000"/>
        <c:crosses val="autoZero"/>
        <c:auto val="1"/>
        <c:lblAlgn val="ctr"/>
        <c:lblOffset val="100"/>
        <c:noMultiLvlLbl val="0"/>
      </c:catAx>
      <c:valAx>
        <c:axId val="107283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3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4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[HAJIRA ISMAIL, COMPANY SET DATASET.xlsx]Table1!PivotTable4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Table1!$S$32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5">
                    <a:shade val="53000"/>
                  </a:schemeClr>
                </a:fgClr>
                <a:bgClr>
                  <a:schemeClr val="accent5">
                    <a:shade val="53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shade val="53000"/>
                  </a:schemeClr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5">
                    <a:shade val="76000"/>
                  </a:schemeClr>
                </a:fgClr>
                <a:bgClr>
                  <a:schemeClr val="accent5">
                    <a:shade val="76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shade val="76000"/>
                  </a:schemeClr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5">
                    <a:tint val="77000"/>
                  </a:schemeClr>
                </a:fgClr>
                <a:bgClr>
                  <a:schemeClr val="accent5">
                    <a:tint val="77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tint val="77000"/>
                  </a:schemeClr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>
                    <a:tint val="54000"/>
                  </a:schemeClr>
                </a:fgClr>
                <a:bgClr>
                  <a:schemeClr val="accent5">
                    <a:tint val="54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tint val="54000"/>
                  </a:schemeClr>
                </a:innerShdw>
              </a:effectLst>
            </c:spPr>
          </c:dPt>
          <c:cat>
            <c:strRef>
              <c:f>Table1!$R$33:$R$38</c:f>
              <c:strCache>
                <c:ptCount val="5"/>
                <c:pt idx="0">
                  <c:v>Calicut</c:v>
                </c:pt>
                <c:pt idx="1">
                  <c:v>Kannur</c:v>
                </c:pt>
                <c:pt idx="2">
                  <c:v>Kochi</c:v>
                </c:pt>
                <c:pt idx="3">
                  <c:v>Thrissur</c:v>
                </c:pt>
                <c:pt idx="4">
                  <c:v>Trivandrum</c:v>
                </c:pt>
              </c:strCache>
            </c:strRef>
          </c:cat>
          <c:val>
            <c:numRef>
              <c:f>Table1!$S$33:$S$38</c:f>
              <c:numCache>
                <c:formatCode>General</c:formatCode>
                <c:ptCount val="5"/>
                <c:pt idx="0">
                  <c:v>312195</c:v>
                </c:pt>
                <c:pt idx="1">
                  <c:v>288188</c:v>
                </c:pt>
                <c:pt idx="2">
                  <c:v>293026</c:v>
                </c:pt>
                <c:pt idx="3">
                  <c:v>205368</c:v>
                </c:pt>
                <c:pt idx="4">
                  <c:v>216817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3-49EA-99C0-89F0B7E2C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[HAJIRA ISMAIL, COMPANY SET DATASET.xlsx]Table1!PivotTable5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Table1!$S$40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Table1!$R$41:$R$45</c:f>
              <c:strCache>
                <c:ptCount val="4"/>
                <c:pt idx="0">
                  <c:v>Aisha</c:v>
                </c:pt>
                <c:pt idx="1">
                  <c:v>Arun</c:v>
                </c:pt>
                <c:pt idx="2">
                  <c:v>Neha</c:v>
                </c:pt>
                <c:pt idx="3">
                  <c:v>Rahul</c:v>
                </c:pt>
              </c:strCache>
            </c:strRef>
          </c:cat>
          <c:val>
            <c:numRef>
              <c:f>Table1!$S$41:$S$45</c:f>
              <c:numCache>
                <c:formatCode>General</c:formatCode>
                <c:ptCount val="4"/>
                <c:pt idx="0">
                  <c:v>10529.379310344828</c:v>
                </c:pt>
                <c:pt idx="1">
                  <c:v>13300.045454545454</c:v>
                </c:pt>
                <c:pt idx="2">
                  <c:v>11433.117647058823</c:v>
                </c:pt>
                <c:pt idx="3">
                  <c:v>16352.4375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F-4947-A9AB-EE2045EC6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72840160"/>
        <c:axId val="1072841960"/>
      </c:barChart>
      <c:catAx>
        <c:axId val="10728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41960"/>
        <c:crosses val="autoZero"/>
        <c:auto val="1"/>
        <c:lblAlgn val="ctr"/>
        <c:lblOffset val="100"/>
        <c:noMultiLvlLbl val="0"/>
      </c:catAx>
      <c:valAx>
        <c:axId val="1072841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[HAJIRA ISMAIL, COMPANY SET DATASET.xlsx]Table1!PivotTable2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Table1!$S$11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Table1!$R$12:$R$15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Table1!$S$12:$S$15</c:f>
              <c:numCache>
                <c:formatCode>General</c:formatCode>
                <c:ptCount val="3"/>
                <c:pt idx="0">
                  <c:v>316210</c:v>
                </c:pt>
                <c:pt idx="1">
                  <c:v>489860</c:v>
                </c:pt>
                <c:pt idx="2">
                  <c:v>509524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A-4684-AEE4-6B58CBA13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3620616"/>
        <c:axId val="1073615936"/>
        <c:axId val="0"/>
      </c:bar3DChart>
      <c:catAx>
        <c:axId val="107362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615936"/>
        <c:crosses val="autoZero"/>
        <c:auto val="1"/>
        <c:lblAlgn val="ctr"/>
        <c:lblOffset val="100"/>
        <c:noMultiLvlLbl val="0"/>
      </c:catAx>
      <c:valAx>
        <c:axId val="10736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62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2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[HAJIRA ISMAIL, COMPANY SET DATASET.xlsx]Table1!PivotTable3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Table1!$S$21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Table1!$R$22:$R$29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Table1!$S$22:$S$29</c:f>
              <c:numCache>
                <c:formatCode>General</c:formatCode>
                <c:ptCount val="7"/>
                <c:pt idx="0">
                  <c:v>272811</c:v>
                </c:pt>
                <c:pt idx="1">
                  <c:v>217049</c:v>
                </c:pt>
                <c:pt idx="2">
                  <c:v>99916</c:v>
                </c:pt>
                <c:pt idx="3">
                  <c:v>117749</c:v>
                </c:pt>
                <c:pt idx="4">
                  <c:v>98545</c:v>
                </c:pt>
                <c:pt idx="5">
                  <c:v>286103</c:v>
                </c:pt>
                <c:pt idx="6">
                  <c:v>223421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3-444F-84B0-008F0FF15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2838360"/>
        <c:axId val="1072838000"/>
        <c:axId val="0"/>
      </c:bar3DChart>
      <c:catAx>
        <c:axId val="1072838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38000"/>
        <c:crosses val="autoZero"/>
        <c:auto val="1"/>
        <c:lblAlgn val="ctr"/>
        <c:lblOffset val="100"/>
        <c:noMultiLvlLbl val="0"/>
      </c:catAx>
      <c:valAx>
        <c:axId val="107283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3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4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[HAJIRA ISMAIL, COMPANY SET DATASET.xlsx]Table1!PivotTable4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5">
                <a:shade val="53000"/>
              </a:schemeClr>
            </a:fgClr>
            <a:bgClr>
              <a:schemeClr val="accent5">
                <a:shade val="53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shade val="53000"/>
              </a:schemeClr>
            </a:innerShdw>
          </a:effectLst>
        </c:spPr>
      </c:pivotFmt>
      <c:pivotFmt>
        <c:idx val="3"/>
        <c:spPr>
          <a:pattFill prst="ltUpDiag">
            <a:fgClr>
              <a:schemeClr val="accent5">
                <a:shade val="76000"/>
              </a:schemeClr>
            </a:fgClr>
            <a:bgClr>
              <a:schemeClr val="accent5">
                <a:shade val="76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shade val="76000"/>
              </a:schemeClr>
            </a:innerShdw>
          </a:effectLst>
        </c:spPr>
      </c:pivotFmt>
      <c:pivotFmt>
        <c:idx val="4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</c:pivotFmt>
      <c:pivotFmt>
        <c:idx val="5"/>
        <c:spPr>
          <a:pattFill prst="ltUpDiag">
            <a:fgClr>
              <a:schemeClr val="accent5">
                <a:tint val="77000"/>
              </a:schemeClr>
            </a:fgClr>
            <a:bgClr>
              <a:schemeClr val="accent5">
                <a:tint val="77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tint val="77000"/>
              </a:schemeClr>
            </a:innerShdw>
          </a:effectLst>
        </c:spPr>
      </c:pivotFmt>
      <c:pivotFmt>
        <c:idx val="6"/>
        <c:spPr>
          <a:pattFill prst="ltUpDiag">
            <a:fgClr>
              <a:schemeClr val="accent5">
                <a:tint val="54000"/>
              </a:schemeClr>
            </a:fgClr>
            <a:bgClr>
              <a:schemeClr val="accent5">
                <a:tint val="54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tint val="54000"/>
              </a:schemeClr>
            </a:innerShdw>
          </a:effectLst>
        </c:spPr>
      </c:pivotFmt>
      <c:pivotFmt>
        <c:idx val="7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UpDiag">
            <a:fgClr>
              <a:schemeClr val="accent5">
                <a:shade val="53000"/>
              </a:schemeClr>
            </a:fgClr>
            <a:bgClr>
              <a:schemeClr val="accent5">
                <a:shade val="53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shade val="53000"/>
              </a:schemeClr>
            </a:innerShdw>
          </a:effectLst>
        </c:spPr>
      </c:pivotFmt>
      <c:pivotFmt>
        <c:idx val="9"/>
        <c:spPr>
          <a:pattFill prst="ltUpDiag">
            <a:fgClr>
              <a:schemeClr val="accent5">
                <a:shade val="76000"/>
              </a:schemeClr>
            </a:fgClr>
            <a:bgClr>
              <a:schemeClr val="accent5">
                <a:shade val="76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shade val="76000"/>
              </a:schemeClr>
            </a:innerShdw>
          </a:effectLst>
        </c:spPr>
      </c:pivotFmt>
      <c:pivotFmt>
        <c:idx val="10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</c:pivotFmt>
      <c:pivotFmt>
        <c:idx val="11"/>
        <c:spPr>
          <a:pattFill prst="ltUpDiag">
            <a:fgClr>
              <a:schemeClr val="accent5">
                <a:tint val="77000"/>
              </a:schemeClr>
            </a:fgClr>
            <a:bgClr>
              <a:schemeClr val="accent5">
                <a:tint val="77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tint val="77000"/>
              </a:schemeClr>
            </a:innerShdw>
          </a:effectLst>
        </c:spPr>
      </c:pivotFmt>
      <c:pivotFmt>
        <c:idx val="12"/>
        <c:spPr>
          <a:pattFill prst="ltUpDiag">
            <a:fgClr>
              <a:schemeClr val="accent5">
                <a:tint val="54000"/>
              </a:schemeClr>
            </a:fgClr>
            <a:bgClr>
              <a:schemeClr val="accent5">
                <a:tint val="54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tint val="54000"/>
              </a:schemeClr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Table1!$S$32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5">
                    <a:shade val="53000"/>
                  </a:schemeClr>
                </a:fgClr>
                <a:bgClr>
                  <a:schemeClr val="accent5">
                    <a:shade val="53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shade val="53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C40-4F7A-8B5C-D82AA942668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5">
                    <a:shade val="76000"/>
                  </a:schemeClr>
                </a:fgClr>
                <a:bgClr>
                  <a:schemeClr val="accent5">
                    <a:shade val="76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shade val="76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C40-4F7A-8B5C-D82AA942668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C40-4F7A-8B5C-D82AA942668A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5">
                    <a:tint val="77000"/>
                  </a:schemeClr>
                </a:fgClr>
                <a:bgClr>
                  <a:schemeClr val="accent5">
                    <a:tint val="77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tint val="77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C40-4F7A-8B5C-D82AA942668A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>
                    <a:tint val="54000"/>
                  </a:schemeClr>
                </a:fgClr>
                <a:bgClr>
                  <a:schemeClr val="accent5">
                    <a:tint val="54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tint val="54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9C40-4F7A-8B5C-D82AA942668A}"/>
              </c:ext>
            </c:extLst>
          </c:dPt>
          <c:cat>
            <c:strRef>
              <c:f>Table1!$R$33:$R$38</c:f>
              <c:strCache>
                <c:ptCount val="5"/>
                <c:pt idx="0">
                  <c:v>Calicut</c:v>
                </c:pt>
                <c:pt idx="1">
                  <c:v>Kannur</c:v>
                </c:pt>
                <c:pt idx="2">
                  <c:v>Kochi</c:v>
                </c:pt>
                <c:pt idx="3">
                  <c:v>Thrissur</c:v>
                </c:pt>
                <c:pt idx="4">
                  <c:v>Trivandrum</c:v>
                </c:pt>
              </c:strCache>
            </c:strRef>
          </c:cat>
          <c:val>
            <c:numRef>
              <c:f>Table1!$S$33:$S$38</c:f>
              <c:numCache>
                <c:formatCode>General</c:formatCode>
                <c:ptCount val="5"/>
                <c:pt idx="0">
                  <c:v>312195</c:v>
                </c:pt>
                <c:pt idx="1">
                  <c:v>288188</c:v>
                </c:pt>
                <c:pt idx="2">
                  <c:v>293026</c:v>
                </c:pt>
                <c:pt idx="3">
                  <c:v>205368</c:v>
                </c:pt>
                <c:pt idx="4">
                  <c:v>216817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40-4F7A-8B5C-D82AA9426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577102</xdr:colOff>
      <xdr:row>0</xdr:row>
      <xdr:rowOff>101972</xdr:rowOff>
    </xdr:from>
    <xdr:to>
      <xdr:col>28</xdr:col>
      <xdr:colOff>308161</xdr:colOff>
      <xdr:row>14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D58D3-B1FB-C0DF-6746-4D3C1F41A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560294</xdr:colOff>
      <xdr:row>17</xdr:row>
      <xdr:rowOff>12323</xdr:rowOff>
    </xdr:from>
    <xdr:to>
      <xdr:col>28</xdr:col>
      <xdr:colOff>453838</xdr:colOff>
      <xdr:row>30</xdr:row>
      <xdr:rowOff>22410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1CD8A-08D3-6039-2759-148406A8B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11206</xdr:colOff>
      <xdr:row>32</xdr:row>
      <xdr:rowOff>34736</xdr:rowOff>
    </xdr:from>
    <xdr:to>
      <xdr:col>29</xdr:col>
      <xdr:colOff>50425</xdr:colOff>
      <xdr:row>44</xdr:row>
      <xdr:rowOff>156882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5CF058-255F-3624-5CF6-5F99ACD88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605116</xdr:colOff>
      <xdr:row>46</xdr:row>
      <xdr:rowOff>1120</xdr:rowOff>
    </xdr:from>
    <xdr:to>
      <xdr:col>28</xdr:col>
      <xdr:colOff>308160</xdr:colOff>
      <xdr:row>59</xdr:row>
      <xdr:rowOff>56030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5F00E6-2E29-2721-2401-0019EBD15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2</xdr:row>
      <xdr:rowOff>57150</xdr:rowOff>
    </xdr:from>
    <xdr:to>
      <xdr:col>13</xdr:col>
      <xdr:colOff>600075</xdr:colOff>
      <xdr:row>4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9A8D66-5AF9-80A0-4A54-0728B60F10E7}"/>
            </a:ext>
          </a:extLst>
        </xdr:cNvPr>
        <xdr:cNvSpPr txBox="1"/>
      </xdr:nvSpPr>
      <xdr:spPr>
        <a:xfrm>
          <a:off x="4133850" y="438150"/>
          <a:ext cx="4391025" cy="4476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0" cap="none" spc="0">
              <a:ln w="0">
                <a:solidFill>
                  <a:schemeClr val="tx1"/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DASHBOARD</a:t>
          </a:r>
        </a:p>
      </xdr:txBody>
    </xdr:sp>
    <xdr:clientData/>
  </xdr:twoCellAnchor>
  <xdr:twoCellAnchor>
    <xdr:from>
      <xdr:col>0</xdr:col>
      <xdr:colOff>495300</xdr:colOff>
      <xdr:row>9</xdr:row>
      <xdr:rowOff>180975</xdr:rowOff>
    </xdr:from>
    <xdr:to>
      <xdr:col>5</xdr:col>
      <xdr:colOff>209550</xdr:colOff>
      <xdr:row>12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F0593A-B479-B11F-9F80-D228B7913A6F}"/>
            </a:ext>
          </a:extLst>
        </xdr:cNvPr>
        <xdr:cNvSpPr txBox="1"/>
      </xdr:nvSpPr>
      <xdr:spPr>
        <a:xfrm>
          <a:off x="495300" y="1895475"/>
          <a:ext cx="2762250" cy="476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  <a:softEdge rad="3175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  </a:t>
          </a:r>
          <a:r>
            <a:rPr lang="en-US" sz="1600" b="1"/>
            <a:t>TOTAL</a:t>
          </a:r>
          <a:r>
            <a:rPr lang="en-US" sz="1600" b="1" baseline="0"/>
            <a:t> SALES</a:t>
          </a:r>
          <a:endParaRPr lang="en-US" sz="1600" b="1"/>
        </a:p>
      </xdr:txBody>
    </xdr:sp>
    <xdr:clientData/>
  </xdr:twoCellAnchor>
  <xdr:twoCellAnchor>
    <xdr:from>
      <xdr:col>7</xdr:col>
      <xdr:colOff>476251</xdr:colOff>
      <xdr:row>9</xdr:row>
      <xdr:rowOff>142875</xdr:rowOff>
    </xdr:from>
    <xdr:to>
      <xdr:col>11</xdr:col>
      <xdr:colOff>285751</xdr:colOff>
      <xdr:row>12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947841-4B5C-6231-EFBE-56451778EC01}"/>
            </a:ext>
          </a:extLst>
        </xdr:cNvPr>
        <xdr:cNvSpPr txBox="1"/>
      </xdr:nvSpPr>
      <xdr:spPr>
        <a:xfrm>
          <a:off x="4743451" y="1857375"/>
          <a:ext cx="2247900" cy="4476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reflection blurRad="6350" stA="52000" endA="300" endPos="35000" dir="5400000" sy="-100000" algn="bl" rotWithShape="0"/>
          <a:softEdge rad="3175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TOTAL PRODUCT</a:t>
          </a:r>
          <a:r>
            <a:rPr lang="en-US" sz="1600" b="1" baseline="0"/>
            <a:t> SALES</a:t>
          </a:r>
          <a:endParaRPr lang="en-US" sz="1600" b="1"/>
        </a:p>
      </xdr:txBody>
    </xdr:sp>
    <xdr:clientData/>
  </xdr:twoCellAnchor>
  <xdr:twoCellAnchor>
    <xdr:from>
      <xdr:col>14</xdr:col>
      <xdr:colOff>428625</xdr:colOff>
      <xdr:row>9</xdr:row>
      <xdr:rowOff>161925</xdr:rowOff>
    </xdr:from>
    <xdr:to>
      <xdr:col>19</xdr:col>
      <xdr:colOff>266700</xdr:colOff>
      <xdr:row>11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55D325-D5D9-89F9-DC2F-12883D075F69}"/>
            </a:ext>
          </a:extLst>
        </xdr:cNvPr>
        <xdr:cNvSpPr txBox="1"/>
      </xdr:nvSpPr>
      <xdr:spPr>
        <a:xfrm>
          <a:off x="8963025" y="1876425"/>
          <a:ext cx="2886075" cy="4000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HIGHEST</a:t>
          </a:r>
          <a:r>
            <a:rPr lang="en-US" sz="1600" b="1" baseline="0"/>
            <a:t> REVENUE</a:t>
          </a:r>
          <a:endParaRPr lang="en-US" sz="1600" b="1"/>
        </a:p>
      </xdr:txBody>
    </xdr:sp>
    <xdr:clientData/>
  </xdr:twoCellAnchor>
  <xdr:twoCellAnchor>
    <xdr:from>
      <xdr:col>0</xdr:col>
      <xdr:colOff>76200</xdr:colOff>
      <xdr:row>12</xdr:row>
      <xdr:rowOff>142875</xdr:rowOff>
    </xdr:from>
    <xdr:to>
      <xdr:col>6</xdr:col>
      <xdr:colOff>466725</xdr:colOff>
      <xdr:row>27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0AB909-CEC0-4FD0-A1E8-7E00B60D7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38101</xdr:colOff>
      <xdr:row>12</xdr:row>
      <xdr:rowOff>161925</xdr:rowOff>
    </xdr:from>
    <xdr:to>
      <xdr:col>13</xdr:col>
      <xdr:colOff>285750</xdr:colOff>
      <xdr:row>25</xdr:row>
      <xdr:rowOff>124387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092418-0CCE-4D7D-9B76-91572CD91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514350</xdr:colOff>
      <xdr:row>12</xdr:row>
      <xdr:rowOff>161925</xdr:rowOff>
    </xdr:from>
    <xdr:to>
      <xdr:col>20</xdr:col>
      <xdr:colOff>174810</xdr:colOff>
      <xdr:row>23</xdr:row>
      <xdr:rowOff>122145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2B213E-2D7D-4181-9F83-098325836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39.752470486113" createdVersion="8" refreshedVersion="8" minRefreshableVersion="3" recordCount="100" xr:uid="{A01C78F5-EAAD-4812-AC0F-933DAA75F546}">
  <cacheSource type="worksheet">
    <worksheetSource name="Table1_1"/>
  </cacheSource>
  <cacheFields count="16">
    <cacheField name="Order ID" numFmtId="0">
      <sharedItems containsSemiMixedTypes="0" containsString="0" containsNumber="1" containsInteger="1" minValue="1002" maxValue="1101"/>
    </cacheField>
    <cacheField name="Order Date" numFmtId="14">
      <sharedItems containsSemiMixedTypes="0" containsNonDate="0" containsDate="1" containsString="0" minDate="2026-01-03T00:00:00" maxDate="2026-07-01T00:00:00"/>
    </cacheField>
    <cacheField name="Customer Name" numFmtId="0">
      <sharedItems/>
    </cacheField>
    <cacheField name="City" numFmtId="0">
      <sharedItems count="5">
        <s v="Kannur"/>
        <s v="Calicut"/>
        <s v="Thrissur"/>
        <s v="Trivandrum"/>
        <s v="Kochi"/>
      </sharedItems>
    </cacheField>
    <cacheField name="Department" numFmtId="0">
      <sharedItems count="3">
        <s v="Office Supplies"/>
        <s v="Furniture"/>
        <s v="Electronics"/>
      </sharedItems>
    </cacheField>
    <cacheField name="Product" numFmtId="0">
      <sharedItems count="7">
        <s v="Notebook"/>
        <s v="Chair"/>
        <s v="Desk"/>
        <s v="Keyboard"/>
        <s v="Mouse"/>
        <s v="Pen Set"/>
        <s v="Laptop"/>
      </sharedItems>
    </cacheField>
    <cacheField name="Salesperson" numFmtId="0">
      <sharedItems count="4">
        <s v="Aisha"/>
        <s v="Neha"/>
        <s v="Arun"/>
        <s v="Rahul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310" maxValue="4928"/>
    </cacheField>
    <cacheField name="Discount %" numFmtId="0">
      <sharedItems containsSemiMixedTypes="0" containsString="0" containsNumber="1" containsInteger="1" minValue="0" maxValue="15"/>
    </cacheField>
    <cacheField name="Status " numFmtId="0">
      <sharedItems/>
    </cacheField>
    <cacheField name="Payment Method" numFmtId="0">
      <sharedItems/>
    </cacheField>
    <cacheField name="Remarks" numFmtId="0">
      <sharedItems/>
    </cacheField>
    <cacheField name="revenu" numFmtId="0">
      <sharedItems containsSemiMixedTypes="0" containsString="0" containsNumber="1" containsInteger="1" minValue="319" maxValue="44352"/>
    </cacheField>
    <cacheField name="order category" numFmtId="0">
      <sharedItems/>
    </cacheField>
    <cacheField name="city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2"/>
    <d v="2026-04-25T00:00:00"/>
    <s v="Customer 1"/>
    <x v="0"/>
    <x v="0"/>
    <x v="0"/>
    <x v="0"/>
    <n v="6"/>
    <n v="4924"/>
    <n v="0"/>
    <s v="Pending"/>
    <s v="Upi"/>
    <s v="Repeat Customer"/>
    <n v="29544"/>
    <s v="HIGH"/>
    <s v="OTHER CITY"/>
  </r>
  <r>
    <n v="1003"/>
    <d v="2026-03-21T00:00:00"/>
    <s v="Customer 2"/>
    <x v="0"/>
    <x v="0"/>
    <x v="0"/>
    <x v="0"/>
    <n v="2"/>
    <n v="3788"/>
    <n v="15"/>
    <s v="Pending"/>
    <s v="Upi"/>
    <s v="No Remark"/>
    <n v="7576"/>
    <s v="LOW"/>
    <s v="OTHER CITY"/>
  </r>
  <r>
    <n v="1004"/>
    <d v="2026-06-23T00:00:00"/>
    <s v="Customer 3"/>
    <x v="1"/>
    <x v="1"/>
    <x v="1"/>
    <x v="1"/>
    <n v="9"/>
    <n v="636"/>
    <n v="5"/>
    <s v="Completed"/>
    <s v="Card"/>
    <s v="No Remark"/>
    <n v="5724"/>
    <s v="HIGH"/>
    <s v="MARKED CITY"/>
  </r>
  <r>
    <n v="1005"/>
    <d v="2026-03-20T00:00:00"/>
    <s v="Customer 4"/>
    <x v="2"/>
    <x v="1"/>
    <x v="2"/>
    <x v="1"/>
    <n v="5"/>
    <n v="4721"/>
    <n v="5"/>
    <s v="Completed"/>
    <s v="Cash"/>
    <s v="Repeat Customer"/>
    <n v="23605"/>
    <s v="HIGH"/>
    <s v="OTHER CITY"/>
  </r>
  <r>
    <n v="1006"/>
    <d v="2026-03-10T00:00:00"/>
    <s v="Customer 5"/>
    <x v="3"/>
    <x v="2"/>
    <x v="3"/>
    <x v="0"/>
    <n v="5"/>
    <n v="310"/>
    <n v="10"/>
    <s v="Pending"/>
    <s v="Cash"/>
    <s v="Repeat Customer"/>
    <n v="1550"/>
    <s v="HIGH"/>
    <s v="OTHER CITY"/>
  </r>
  <r>
    <n v="1007"/>
    <d v="2026-05-28T00:00:00"/>
    <s v="Customer 6"/>
    <x v="1"/>
    <x v="2"/>
    <x v="4"/>
    <x v="2"/>
    <n v="4"/>
    <n v="1365"/>
    <n v="5"/>
    <s v="Completed"/>
    <s v="Card"/>
    <s v="Urgent"/>
    <n v="5460"/>
    <s v="LOW"/>
    <s v="MARKED CITY"/>
  </r>
  <r>
    <n v="1008"/>
    <d v="2026-06-21T00:00:00"/>
    <s v="Customer 7"/>
    <x v="4"/>
    <x v="1"/>
    <x v="1"/>
    <x v="2"/>
    <n v="4"/>
    <n v="3367"/>
    <n v="5"/>
    <s v="Pending"/>
    <s v="Card"/>
    <s v="Repeat Customer"/>
    <n v="13468"/>
    <s v="LOW"/>
    <s v="OTHER CITY"/>
  </r>
  <r>
    <n v="1009"/>
    <d v="2026-02-27T00:00:00"/>
    <s v="Customer 8"/>
    <x v="1"/>
    <x v="0"/>
    <x v="5"/>
    <x v="3"/>
    <n v="7"/>
    <n v="635"/>
    <n v="10"/>
    <s v="Completed"/>
    <s v="Cash"/>
    <s v="Repeat Customer"/>
    <n v="4445"/>
    <s v="HIGH"/>
    <s v="MARKED CITY"/>
  </r>
  <r>
    <n v="1010"/>
    <d v="2026-02-22T00:00:00"/>
    <s v="Customer 9"/>
    <x v="4"/>
    <x v="0"/>
    <x v="5"/>
    <x v="2"/>
    <n v="2"/>
    <n v="931"/>
    <n v="10"/>
    <s v="Completed"/>
    <s v="Cash"/>
    <s v="New Lead"/>
    <n v="1862"/>
    <s v="LOW"/>
    <s v="OTHER CITY"/>
  </r>
  <r>
    <n v="1011"/>
    <d v="2026-02-14T00:00:00"/>
    <s v="Customer 10"/>
    <x v="0"/>
    <x v="0"/>
    <x v="0"/>
    <x v="2"/>
    <n v="2"/>
    <n v="1634"/>
    <n v="15"/>
    <s v="Completed"/>
    <s v="Card"/>
    <s v="No Remark"/>
    <n v="3268"/>
    <s v="LOW"/>
    <s v="OTHER CITY"/>
  </r>
  <r>
    <n v="1012"/>
    <d v="2026-02-23T00:00:00"/>
    <s v="Customer 11"/>
    <x v="1"/>
    <x v="1"/>
    <x v="2"/>
    <x v="3"/>
    <n v="7"/>
    <n v="4252"/>
    <n v="15"/>
    <s v="Completed"/>
    <s v="Upi"/>
    <s v="No Remark"/>
    <n v="29764"/>
    <s v="HIGH"/>
    <s v="MARKED CITY"/>
  </r>
  <r>
    <n v="1013"/>
    <d v="2026-06-16T00:00:00"/>
    <s v="Customer 12"/>
    <x v="1"/>
    <x v="0"/>
    <x v="0"/>
    <x v="0"/>
    <n v="2"/>
    <n v="2374"/>
    <n v="10"/>
    <s v="Pending"/>
    <s v="Cash"/>
    <s v="No Remark"/>
    <n v="4748"/>
    <s v="LOW"/>
    <s v="MARKED CITY"/>
  </r>
  <r>
    <n v="1014"/>
    <d v="2026-06-20T00:00:00"/>
    <s v="Customer 13"/>
    <x v="4"/>
    <x v="0"/>
    <x v="0"/>
    <x v="0"/>
    <n v="5"/>
    <n v="1612"/>
    <n v="5"/>
    <s v="Completed"/>
    <s v="Card"/>
    <s v="Urgent"/>
    <n v="8060"/>
    <s v="HIGH"/>
    <s v="OTHER CITY"/>
  </r>
  <r>
    <n v="1015"/>
    <d v="2026-06-09T00:00:00"/>
    <s v="Customer 14"/>
    <x v="1"/>
    <x v="2"/>
    <x v="6"/>
    <x v="3"/>
    <n v="10"/>
    <n v="1044"/>
    <n v="15"/>
    <s v="Pending"/>
    <s v="Card"/>
    <s v="Repeat Customer"/>
    <n v="10440"/>
    <s v="HIGH"/>
    <s v="MARKED CITY"/>
  </r>
  <r>
    <n v="1016"/>
    <d v="2026-04-01T00:00:00"/>
    <s v="Customer 15"/>
    <x v="4"/>
    <x v="2"/>
    <x v="6"/>
    <x v="3"/>
    <n v="9"/>
    <n v="3043"/>
    <n v="10"/>
    <s v="Completed"/>
    <s v="Cash"/>
    <s v="No Remark"/>
    <n v="27387"/>
    <s v="HIGH"/>
    <s v="OTHER CITY"/>
  </r>
  <r>
    <n v="1017"/>
    <d v="2026-06-24T00:00:00"/>
    <s v="Customer 16"/>
    <x v="0"/>
    <x v="0"/>
    <x v="0"/>
    <x v="0"/>
    <n v="1"/>
    <n v="319"/>
    <n v="5"/>
    <s v="Completed"/>
    <s v="Cash"/>
    <s v="Urgent"/>
    <n v="319"/>
    <s v="LOW"/>
    <s v="OTHER CITY"/>
  </r>
  <r>
    <n v="1018"/>
    <d v="2026-02-10T00:00:00"/>
    <s v="Customer 17"/>
    <x v="0"/>
    <x v="0"/>
    <x v="0"/>
    <x v="3"/>
    <n v="8"/>
    <n v="4177"/>
    <n v="0"/>
    <s v="Pending"/>
    <s v="Upi"/>
    <s v="Urgent"/>
    <n v="33416"/>
    <s v="HIGH"/>
    <s v="OTHER CITY"/>
  </r>
  <r>
    <n v="1019"/>
    <d v="2026-03-18T00:00:00"/>
    <s v="Customer 18"/>
    <x v="1"/>
    <x v="1"/>
    <x v="1"/>
    <x v="3"/>
    <n v="4"/>
    <n v="3996"/>
    <n v="5"/>
    <s v="Completed"/>
    <s v="Card"/>
    <s v="Urgent"/>
    <n v="15984"/>
    <s v="LOW"/>
    <s v="MARKED CITY"/>
  </r>
  <r>
    <n v="1020"/>
    <d v="2026-04-14T00:00:00"/>
    <s v="Customer 19"/>
    <x v="0"/>
    <x v="2"/>
    <x v="6"/>
    <x v="0"/>
    <n v="5"/>
    <n v="1889"/>
    <n v="10"/>
    <s v="Pending"/>
    <s v="Cash"/>
    <s v="New Lead"/>
    <n v="9445"/>
    <s v="HIGH"/>
    <s v="OTHER CITY"/>
  </r>
  <r>
    <n v="1021"/>
    <d v="2026-05-23T00:00:00"/>
    <s v="Customer 20"/>
    <x v="2"/>
    <x v="0"/>
    <x v="5"/>
    <x v="1"/>
    <n v="10"/>
    <n v="1883"/>
    <n v="0"/>
    <s v="Pending"/>
    <s v="Cash"/>
    <s v="Urgent"/>
    <n v="18830"/>
    <s v="HIGH"/>
    <s v="OTHER CITY"/>
  </r>
  <r>
    <n v="1022"/>
    <d v="2026-02-28T00:00:00"/>
    <s v="Customer 21"/>
    <x v="0"/>
    <x v="1"/>
    <x v="1"/>
    <x v="1"/>
    <n v="3"/>
    <n v="3962"/>
    <n v="5"/>
    <s v="Pending"/>
    <s v="Cash"/>
    <s v="Urgent"/>
    <n v="11886"/>
    <s v="LOW"/>
    <s v="OTHER CITY"/>
  </r>
  <r>
    <n v="1023"/>
    <d v="2026-05-04T00:00:00"/>
    <s v="Customer 22"/>
    <x v="0"/>
    <x v="0"/>
    <x v="5"/>
    <x v="1"/>
    <n v="2"/>
    <n v="1153"/>
    <n v="0"/>
    <s v="Pending"/>
    <s v="Upi"/>
    <s v="New Lead"/>
    <n v="2306"/>
    <s v="LOW"/>
    <s v="OTHER CITY"/>
  </r>
  <r>
    <n v="1024"/>
    <d v="2026-02-22T00:00:00"/>
    <s v="Customer 23"/>
    <x v="1"/>
    <x v="1"/>
    <x v="1"/>
    <x v="3"/>
    <n v="6"/>
    <n v="2809"/>
    <n v="5"/>
    <s v="Completed"/>
    <s v="Upi"/>
    <s v="Repeat Customer"/>
    <n v="16854"/>
    <s v="HIGH"/>
    <s v="MARKED CITY"/>
  </r>
  <r>
    <n v="1025"/>
    <d v="2026-04-17T00:00:00"/>
    <s v="Customer 24"/>
    <x v="1"/>
    <x v="2"/>
    <x v="3"/>
    <x v="2"/>
    <n v="4"/>
    <n v="2307"/>
    <n v="10"/>
    <s v="Pending"/>
    <s v="Upi"/>
    <s v="Urgent"/>
    <n v="9228"/>
    <s v="LOW"/>
    <s v="MARKED CITY"/>
  </r>
  <r>
    <n v="1026"/>
    <d v="2026-01-08T00:00:00"/>
    <s v="Customer 25"/>
    <x v="1"/>
    <x v="1"/>
    <x v="2"/>
    <x v="0"/>
    <n v="2"/>
    <n v="1874"/>
    <n v="0"/>
    <s v="Pending"/>
    <s v="Card"/>
    <s v="No Remark"/>
    <n v="3748"/>
    <s v="LOW"/>
    <s v="MARKED CITY"/>
  </r>
  <r>
    <n v="1027"/>
    <d v="2026-02-22T00:00:00"/>
    <s v="Customer 26"/>
    <x v="3"/>
    <x v="0"/>
    <x v="0"/>
    <x v="0"/>
    <n v="9"/>
    <n v="2591"/>
    <n v="10"/>
    <s v="Pending"/>
    <s v="Cash"/>
    <s v="New Lead"/>
    <n v="23319"/>
    <s v="HIGH"/>
    <s v="OTHER CITY"/>
  </r>
  <r>
    <n v="1028"/>
    <d v="2026-05-11T00:00:00"/>
    <s v="Customer 27"/>
    <x v="4"/>
    <x v="2"/>
    <x v="6"/>
    <x v="2"/>
    <n v="10"/>
    <n v="2973"/>
    <n v="5"/>
    <s v="Pending"/>
    <s v="Card"/>
    <s v="New Lead"/>
    <n v="29730"/>
    <s v="HIGH"/>
    <s v="OTHER CITY"/>
  </r>
  <r>
    <n v="1029"/>
    <d v="2026-04-10T00:00:00"/>
    <s v="Customer 28"/>
    <x v="1"/>
    <x v="0"/>
    <x v="0"/>
    <x v="2"/>
    <n v="1"/>
    <n v="1713"/>
    <n v="0"/>
    <s v="Completed"/>
    <s v="Card"/>
    <s v="Repeat Customer"/>
    <n v="1713"/>
    <s v="LOW"/>
    <s v="MARKED CITY"/>
  </r>
  <r>
    <n v="1030"/>
    <d v="2026-05-21T00:00:00"/>
    <s v="Customer 29"/>
    <x v="1"/>
    <x v="1"/>
    <x v="2"/>
    <x v="3"/>
    <n v="2"/>
    <n v="4916"/>
    <n v="5"/>
    <s v="Completed"/>
    <s v="Upi"/>
    <s v="New Lead"/>
    <n v="9832"/>
    <s v="LOW"/>
    <s v="MARKED CITY"/>
  </r>
  <r>
    <n v="1031"/>
    <d v="2026-02-08T00:00:00"/>
    <s v="Customer 30"/>
    <x v="2"/>
    <x v="1"/>
    <x v="2"/>
    <x v="3"/>
    <n v="7"/>
    <n v="2683"/>
    <n v="10"/>
    <s v="Pending"/>
    <s v="Upi"/>
    <s v="No Remark"/>
    <n v="18781"/>
    <s v="HIGH"/>
    <s v="OTHER CITY"/>
  </r>
  <r>
    <n v="1032"/>
    <d v="2026-04-10T00:00:00"/>
    <s v="Customer 31"/>
    <x v="3"/>
    <x v="0"/>
    <x v="5"/>
    <x v="2"/>
    <n v="10"/>
    <n v="4144"/>
    <n v="15"/>
    <s v="Pending"/>
    <s v="Cash"/>
    <s v="Urgent"/>
    <n v="41440"/>
    <s v="HIGH"/>
    <s v="OTHER CITY"/>
  </r>
  <r>
    <n v="1033"/>
    <d v="2026-04-21T00:00:00"/>
    <s v="Customer 32"/>
    <x v="3"/>
    <x v="2"/>
    <x v="4"/>
    <x v="1"/>
    <n v="7"/>
    <n v="4072"/>
    <n v="15"/>
    <s v="Pending"/>
    <s v="Upi"/>
    <s v="No Remark"/>
    <n v="28504"/>
    <s v="HIGH"/>
    <s v="OTHER CITY"/>
  </r>
  <r>
    <n v="1034"/>
    <d v="2026-02-04T00:00:00"/>
    <s v="Customer 33"/>
    <x v="1"/>
    <x v="1"/>
    <x v="2"/>
    <x v="3"/>
    <n v="9"/>
    <n v="2346"/>
    <n v="15"/>
    <s v="Completed"/>
    <s v="Card"/>
    <s v="Repeat Customer"/>
    <n v="21114"/>
    <s v="HIGH"/>
    <s v="MARKED CITY"/>
  </r>
  <r>
    <n v="1035"/>
    <d v="2026-01-23T00:00:00"/>
    <s v="Customer 34"/>
    <x v="3"/>
    <x v="0"/>
    <x v="5"/>
    <x v="3"/>
    <n v="2"/>
    <n v="546"/>
    <n v="5"/>
    <s v="Pending"/>
    <s v="Card"/>
    <s v="Repeat Customer"/>
    <n v="1092"/>
    <s v="LOW"/>
    <s v="OTHER CITY"/>
  </r>
  <r>
    <n v="1036"/>
    <d v="2026-04-01T00:00:00"/>
    <s v="Customer 35"/>
    <x v="2"/>
    <x v="2"/>
    <x v="6"/>
    <x v="2"/>
    <n v="10"/>
    <n v="705"/>
    <n v="0"/>
    <s v="Completed"/>
    <s v="Card"/>
    <s v="Urgent"/>
    <n v="7050"/>
    <s v="HIGH"/>
    <s v="OTHER CITY"/>
  </r>
  <r>
    <n v="1037"/>
    <d v="2026-04-29T00:00:00"/>
    <s v="Customer 36"/>
    <x v="2"/>
    <x v="0"/>
    <x v="0"/>
    <x v="0"/>
    <n v="4"/>
    <n v="2514"/>
    <n v="0"/>
    <s v="Completed"/>
    <s v="Upi"/>
    <s v="New Lead"/>
    <n v="10056"/>
    <s v="LOW"/>
    <s v="OTHER CITY"/>
  </r>
  <r>
    <n v="1038"/>
    <d v="2026-06-09T00:00:00"/>
    <s v="Customer 37"/>
    <x v="4"/>
    <x v="2"/>
    <x v="6"/>
    <x v="1"/>
    <n v="6"/>
    <n v="1188"/>
    <n v="0"/>
    <s v="Completed"/>
    <s v="Cash"/>
    <s v="Urgent"/>
    <n v="7128"/>
    <s v="HIGH"/>
    <s v="OTHER CITY"/>
  </r>
  <r>
    <n v="1039"/>
    <d v="2026-03-06T00:00:00"/>
    <s v="Customer 38"/>
    <x v="4"/>
    <x v="0"/>
    <x v="5"/>
    <x v="2"/>
    <n v="6"/>
    <n v="4718"/>
    <n v="5"/>
    <s v="Completed"/>
    <s v="Cash"/>
    <s v="Urgent"/>
    <n v="28308"/>
    <s v="HIGH"/>
    <s v="OTHER CITY"/>
  </r>
  <r>
    <n v="1040"/>
    <d v="2026-06-08T00:00:00"/>
    <s v="Customer 39"/>
    <x v="2"/>
    <x v="2"/>
    <x v="3"/>
    <x v="2"/>
    <n v="8"/>
    <n v="565"/>
    <n v="15"/>
    <s v="Completed"/>
    <s v="Cash"/>
    <s v="Urgent"/>
    <n v="4520"/>
    <s v="HIGH"/>
    <s v="OTHER CITY"/>
  </r>
  <r>
    <n v="1041"/>
    <d v="2026-02-10T00:00:00"/>
    <s v="Customer 40"/>
    <x v="2"/>
    <x v="2"/>
    <x v="3"/>
    <x v="0"/>
    <n v="3"/>
    <n v="4102"/>
    <n v="5"/>
    <s v="Completed"/>
    <s v="Upi"/>
    <s v="Repeat Customer"/>
    <n v="12306"/>
    <s v="LOW"/>
    <s v="OTHER CITY"/>
  </r>
  <r>
    <n v="1042"/>
    <d v="2026-01-30T00:00:00"/>
    <s v="Customer 41"/>
    <x v="1"/>
    <x v="0"/>
    <x v="5"/>
    <x v="0"/>
    <n v="4"/>
    <n v="713"/>
    <n v="15"/>
    <s v="Pending"/>
    <s v="Upi"/>
    <s v="New Lead"/>
    <n v="2852"/>
    <s v="LOW"/>
    <s v="MARKED CITY"/>
  </r>
  <r>
    <n v="1043"/>
    <d v="2026-05-14T00:00:00"/>
    <s v="Customer 42"/>
    <x v="0"/>
    <x v="0"/>
    <x v="5"/>
    <x v="1"/>
    <n v="5"/>
    <n v="2283"/>
    <n v="15"/>
    <s v="Completed"/>
    <s v="Card"/>
    <s v="Urgent"/>
    <n v="11415"/>
    <s v="HIGH"/>
    <s v="OTHER CITY"/>
  </r>
  <r>
    <n v="1044"/>
    <d v="2026-02-25T00:00:00"/>
    <s v="Customer 43"/>
    <x v="0"/>
    <x v="2"/>
    <x v="4"/>
    <x v="3"/>
    <n v="8"/>
    <n v="1957"/>
    <n v="10"/>
    <s v="Completed"/>
    <s v="Upi"/>
    <s v="Repeat Customer"/>
    <n v="15656"/>
    <s v="HIGH"/>
    <s v="OTHER CITY"/>
  </r>
  <r>
    <n v="1045"/>
    <d v="2026-01-24T00:00:00"/>
    <s v="Customer 44"/>
    <x v="4"/>
    <x v="1"/>
    <x v="1"/>
    <x v="3"/>
    <n v="10"/>
    <n v="2544"/>
    <n v="5"/>
    <s v="Completed"/>
    <s v="Upi"/>
    <s v="No Remark"/>
    <n v="25440"/>
    <s v="HIGH"/>
    <s v="OTHER CITY"/>
  </r>
  <r>
    <n v="1046"/>
    <d v="2026-06-07T00:00:00"/>
    <s v="Customer 45"/>
    <x v="2"/>
    <x v="1"/>
    <x v="1"/>
    <x v="2"/>
    <n v="1"/>
    <n v="353"/>
    <n v="15"/>
    <s v="Completed"/>
    <s v="Card"/>
    <s v="Urgent"/>
    <n v="353"/>
    <s v="LOW"/>
    <s v="OTHER CITY"/>
  </r>
  <r>
    <n v="1047"/>
    <d v="2026-05-20T00:00:00"/>
    <s v="Customer 46"/>
    <x v="3"/>
    <x v="1"/>
    <x v="2"/>
    <x v="3"/>
    <n v="9"/>
    <n v="4928"/>
    <n v="0"/>
    <s v="Pending"/>
    <s v="Upi"/>
    <s v="Urgent"/>
    <n v="44352"/>
    <s v="HIGH"/>
    <s v="OTHER CITY"/>
  </r>
  <r>
    <n v="1048"/>
    <d v="2026-02-25T00:00:00"/>
    <s v="Customer 47"/>
    <x v="2"/>
    <x v="0"/>
    <x v="0"/>
    <x v="3"/>
    <n v="9"/>
    <n v="1271"/>
    <n v="15"/>
    <s v="Pending"/>
    <s v="Upi"/>
    <s v="New Lead"/>
    <n v="11439"/>
    <s v="HIGH"/>
    <s v="OTHER CITY"/>
  </r>
  <r>
    <n v="1049"/>
    <d v="2026-01-30T00:00:00"/>
    <s v="Customer 48"/>
    <x v="4"/>
    <x v="0"/>
    <x v="0"/>
    <x v="2"/>
    <n v="6"/>
    <n v="4683"/>
    <n v="15"/>
    <s v="Completed"/>
    <s v="Card"/>
    <s v="No Remark"/>
    <n v="28098"/>
    <s v="HIGH"/>
    <s v="OTHER CITY"/>
  </r>
  <r>
    <n v="1050"/>
    <d v="2026-06-16T00:00:00"/>
    <s v="Customer 49"/>
    <x v="2"/>
    <x v="1"/>
    <x v="1"/>
    <x v="3"/>
    <n v="7"/>
    <n v="2360"/>
    <n v="10"/>
    <s v="Pending"/>
    <s v="Card"/>
    <s v="New Lead"/>
    <n v="16520"/>
    <s v="HIGH"/>
    <s v="OTHER CITY"/>
  </r>
  <r>
    <n v="1051"/>
    <d v="2026-02-01T00:00:00"/>
    <s v="Customer 50"/>
    <x v="4"/>
    <x v="1"/>
    <x v="1"/>
    <x v="3"/>
    <n v="10"/>
    <n v="385"/>
    <n v="0"/>
    <s v="Completed"/>
    <s v="Card"/>
    <s v="No Remark"/>
    <n v="3850"/>
    <s v="HIGH"/>
    <s v="OTHER CITY"/>
  </r>
  <r>
    <n v="1052"/>
    <d v="2026-03-29T00:00:00"/>
    <s v="Customer 51"/>
    <x v="4"/>
    <x v="1"/>
    <x v="1"/>
    <x v="0"/>
    <n v="5"/>
    <n v="1649"/>
    <n v="5"/>
    <s v="Pending"/>
    <s v="Card"/>
    <s v="New Lead"/>
    <n v="8245"/>
    <s v="HIGH"/>
    <s v="OTHER CITY"/>
  </r>
  <r>
    <n v="1053"/>
    <d v="2026-01-11T00:00:00"/>
    <s v="Customer 52"/>
    <x v="1"/>
    <x v="2"/>
    <x v="3"/>
    <x v="0"/>
    <n v="7"/>
    <n v="4810"/>
    <n v="0"/>
    <s v="Pending"/>
    <s v="Cash"/>
    <s v="New Lead"/>
    <n v="33670"/>
    <s v="HIGH"/>
    <s v="MARKED CITY"/>
  </r>
  <r>
    <n v="1054"/>
    <d v="2026-05-04T00:00:00"/>
    <s v="Customer 53"/>
    <x v="1"/>
    <x v="1"/>
    <x v="2"/>
    <x v="1"/>
    <n v="7"/>
    <n v="1749"/>
    <n v="15"/>
    <s v="Pending"/>
    <s v="Upi"/>
    <s v="New Lead"/>
    <n v="12243"/>
    <s v="HIGH"/>
    <s v="MARKED CITY"/>
  </r>
  <r>
    <n v="1055"/>
    <d v="2026-06-30T00:00:00"/>
    <s v="Customer 54"/>
    <x v="4"/>
    <x v="0"/>
    <x v="0"/>
    <x v="3"/>
    <n v="8"/>
    <n v="1461"/>
    <n v="10"/>
    <s v="Pending"/>
    <s v="Cash"/>
    <s v="No Remark"/>
    <n v="11688"/>
    <s v="HIGH"/>
    <s v="OTHER CITY"/>
  </r>
  <r>
    <n v="1056"/>
    <d v="2026-02-13T00:00:00"/>
    <s v="Customer 55"/>
    <x v="3"/>
    <x v="1"/>
    <x v="2"/>
    <x v="0"/>
    <n v="1"/>
    <n v="941"/>
    <n v="0"/>
    <s v="Pending"/>
    <s v="Upi"/>
    <s v="No Remark"/>
    <n v="941"/>
    <s v="LOW"/>
    <s v="OTHER CITY"/>
  </r>
  <r>
    <n v="1057"/>
    <d v="2026-05-21T00:00:00"/>
    <s v="Customer 56"/>
    <x v="4"/>
    <x v="1"/>
    <x v="1"/>
    <x v="0"/>
    <n v="3"/>
    <n v="1245"/>
    <n v="0"/>
    <s v="Pending"/>
    <s v="Cash"/>
    <s v="No Remark"/>
    <n v="3735"/>
    <s v="LOW"/>
    <s v="OTHER CITY"/>
  </r>
  <r>
    <n v="1058"/>
    <d v="2026-03-15T00:00:00"/>
    <s v="Customer 57"/>
    <x v="4"/>
    <x v="1"/>
    <x v="2"/>
    <x v="3"/>
    <n v="5"/>
    <n v="3559"/>
    <n v="5"/>
    <s v="Completed"/>
    <s v="Cash"/>
    <s v="Repeat Customer"/>
    <n v="17795"/>
    <s v="HIGH"/>
    <s v="OTHER CITY"/>
  </r>
  <r>
    <n v="1059"/>
    <d v="2026-02-28T00:00:00"/>
    <s v="Customer 58"/>
    <x v="1"/>
    <x v="0"/>
    <x v="0"/>
    <x v="3"/>
    <n v="4"/>
    <n v="1204"/>
    <n v="10"/>
    <s v="Completed"/>
    <s v="Card"/>
    <s v="New Lead"/>
    <n v="4816"/>
    <s v="LOW"/>
    <s v="MARKED CITY"/>
  </r>
  <r>
    <n v="1060"/>
    <d v="2026-01-23T00:00:00"/>
    <s v="Customer 59"/>
    <x v="2"/>
    <x v="0"/>
    <x v="0"/>
    <x v="1"/>
    <n v="10"/>
    <n v="435"/>
    <n v="10"/>
    <s v="Pending"/>
    <s v="Upi"/>
    <s v="New Lead"/>
    <n v="4350"/>
    <s v="HIGH"/>
    <s v="OTHER CITY"/>
  </r>
  <r>
    <n v="1061"/>
    <d v="2026-02-21T00:00:00"/>
    <s v="Customer 60"/>
    <x v="1"/>
    <x v="1"/>
    <x v="1"/>
    <x v="3"/>
    <n v="4"/>
    <n v="4428"/>
    <n v="0"/>
    <s v="Completed"/>
    <s v="Cash"/>
    <s v="No Remark"/>
    <n v="17712"/>
    <s v="LOW"/>
    <s v="MARKED CITY"/>
  </r>
  <r>
    <n v="1062"/>
    <d v="2026-02-14T00:00:00"/>
    <s v="Customer 61"/>
    <x v="3"/>
    <x v="0"/>
    <x v="5"/>
    <x v="2"/>
    <n v="4"/>
    <n v="2146"/>
    <n v="5"/>
    <s v="Completed"/>
    <s v="Cash"/>
    <s v="New Lead"/>
    <n v="8584"/>
    <s v="LOW"/>
    <s v="OTHER CITY"/>
  </r>
  <r>
    <n v="1063"/>
    <d v="2026-03-11T00:00:00"/>
    <s v="Customer 62"/>
    <x v="1"/>
    <x v="2"/>
    <x v="3"/>
    <x v="1"/>
    <n v="4"/>
    <n v="1168"/>
    <n v="15"/>
    <s v="Completed"/>
    <s v="Card"/>
    <s v="No Remark"/>
    <n v="4672"/>
    <s v="LOW"/>
    <s v="MARKED CITY"/>
  </r>
  <r>
    <n v="1064"/>
    <d v="2026-02-06T00:00:00"/>
    <s v="Customer 63"/>
    <x v="1"/>
    <x v="2"/>
    <x v="4"/>
    <x v="3"/>
    <n v="6"/>
    <n v="4798"/>
    <n v="10"/>
    <s v="Completed"/>
    <s v="Cash"/>
    <s v="Repeat Customer"/>
    <n v="28788"/>
    <s v="HIGH"/>
    <s v="MARKED CITY"/>
  </r>
  <r>
    <n v="1065"/>
    <d v="2026-03-01T00:00:00"/>
    <s v="Customer 64"/>
    <x v="4"/>
    <x v="2"/>
    <x v="6"/>
    <x v="1"/>
    <n v="3"/>
    <n v="2000"/>
    <n v="10"/>
    <s v="Completed"/>
    <s v="Cash"/>
    <s v="No Remark"/>
    <n v="6000"/>
    <s v="LOW"/>
    <s v="OTHER CITY"/>
  </r>
  <r>
    <n v="1066"/>
    <d v="2026-04-03T00:00:00"/>
    <s v="Customer 65"/>
    <x v="1"/>
    <x v="0"/>
    <x v="5"/>
    <x v="2"/>
    <n v="4"/>
    <n v="3282"/>
    <n v="15"/>
    <s v="Completed"/>
    <s v="Card"/>
    <s v="New Lead"/>
    <n v="13128"/>
    <s v="LOW"/>
    <s v="MARKED CITY"/>
  </r>
  <r>
    <n v="1067"/>
    <d v="2026-02-14T00:00:00"/>
    <s v="Customer 66"/>
    <x v="3"/>
    <x v="0"/>
    <x v="5"/>
    <x v="0"/>
    <n v="6"/>
    <n v="584"/>
    <n v="15"/>
    <s v="Pending"/>
    <s v="Cash"/>
    <s v="Urgent"/>
    <n v="3504"/>
    <s v="HIGH"/>
    <s v="OTHER CITY"/>
  </r>
  <r>
    <n v="1068"/>
    <d v="2026-01-10T00:00:00"/>
    <s v="Customer 67"/>
    <x v="3"/>
    <x v="1"/>
    <x v="1"/>
    <x v="0"/>
    <n v="2"/>
    <n v="1798"/>
    <n v="10"/>
    <s v="Pending"/>
    <s v="Card"/>
    <s v="No Remark"/>
    <n v="3596"/>
    <s v="LOW"/>
    <s v="OTHER CITY"/>
  </r>
  <r>
    <n v="1069"/>
    <d v="2026-02-08T00:00:00"/>
    <s v="Customer 68"/>
    <x v="0"/>
    <x v="0"/>
    <x v="0"/>
    <x v="0"/>
    <n v="6"/>
    <n v="3099"/>
    <n v="5"/>
    <s v="Completed"/>
    <s v="Cash"/>
    <s v="Repeat Customer"/>
    <n v="18594"/>
    <s v="HIGH"/>
    <s v="OTHER CITY"/>
  </r>
  <r>
    <n v="1070"/>
    <d v="2026-05-19T00:00:00"/>
    <s v="Customer 69"/>
    <x v="1"/>
    <x v="0"/>
    <x v="5"/>
    <x v="3"/>
    <n v="3"/>
    <n v="1879"/>
    <n v="10"/>
    <s v="Completed"/>
    <s v="Card"/>
    <s v="Repeat Customer"/>
    <n v="5637"/>
    <s v="LOW"/>
    <s v="MARKED CITY"/>
  </r>
  <r>
    <n v="1071"/>
    <d v="2026-01-07T00:00:00"/>
    <s v="Customer 70"/>
    <x v="0"/>
    <x v="0"/>
    <x v="0"/>
    <x v="2"/>
    <n v="9"/>
    <n v="930"/>
    <n v="0"/>
    <s v="Completed"/>
    <s v="Card"/>
    <s v="Repeat Customer"/>
    <n v="8370"/>
    <s v="HIGH"/>
    <s v="OTHER CITY"/>
  </r>
  <r>
    <n v="1072"/>
    <d v="2026-06-08T00:00:00"/>
    <s v="Customer 71"/>
    <x v="4"/>
    <x v="1"/>
    <x v="2"/>
    <x v="0"/>
    <n v="6"/>
    <n v="4713"/>
    <n v="0"/>
    <s v="Completed"/>
    <s v="Cash"/>
    <s v="Repeat Customer"/>
    <n v="28278"/>
    <s v="HIGH"/>
    <s v="OTHER CITY"/>
  </r>
  <r>
    <n v="1073"/>
    <d v="2026-06-13T00:00:00"/>
    <s v="Customer 72"/>
    <x v="1"/>
    <x v="1"/>
    <x v="1"/>
    <x v="0"/>
    <n v="2"/>
    <n v="3055"/>
    <n v="5"/>
    <s v="Pending"/>
    <s v="Card"/>
    <s v="Urgent"/>
    <n v="6110"/>
    <s v="LOW"/>
    <s v="MARKED CITY"/>
  </r>
  <r>
    <n v="1074"/>
    <d v="2026-06-07T00:00:00"/>
    <s v="Customer 73"/>
    <x v="3"/>
    <x v="0"/>
    <x v="0"/>
    <x v="3"/>
    <n v="5"/>
    <n v="993"/>
    <n v="5"/>
    <s v="Pending"/>
    <s v="Cash"/>
    <s v="New Lead"/>
    <n v="4965"/>
    <s v="HIGH"/>
    <s v="OTHER CITY"/>
  </r>
  <r>
    <n v="1075"/>
    <d v="2026-03-29T00:00:00"/>
    <s v="Customer 74"/>
    <x v="0"/>
    <x v="1"/>
    <x v="1"/>
    <x v="0"/>
    <n v="2"/>
    <n v="4128"/>
    <n v="0"/>
    <s v="Pending"/>
    <s v="Cash"/>
    <s v="No Remark"/>
    <n v="8256"/>
    <s v="LOW"/>
    <s v="OTHER CITY"/>
  </r>
  <r>
    <n v="1076"/>
    <d v="2026-06-20T00:00:00"/>
    <s v="Customer 75"/>
    <x v="2"/>
    <x v="0"/>
    <x v="0"/>
    <x v="3"/>
    <n v="4"/>
    <n v="4162"/>
    <n v="10"/>
    <s v="Pending"/>
    <s v="Upi"/>
    <s v="Urgent"/>
    <n v="16648"/>
    <s v="LOW"/>
    <s v="OTHER CITY"/>
  </r>
  <r>
    <n v="1077"/>
    <d v="2026-03-14T00:00:00"/>
    <s v="Customer 76"/>
    <x v="1"/>
    <x v="0"/>
    <x v="5"/>
    <x v="1"/>
    <n v="8"/>
    <n v="3138"/>
    <n v="0"/>
    <s v="Pending"/>
    <s v="Card"/>
    <s v="New Lead"/>
    <n v="25104"/>
    <s v="HIGH"/>
    <s v="MARKED CITY"/>
  </r>
  <r>
    <n v="1078"/>
    <d v="2026-06-21T00:00:00"/>
    <s v="Customer 77"/>
    <x v="1"/>
    <x v="1"/>
    <x v="1"/>
    <x v="1"/>
    <n v="3"/>
    <n v="1393"/>
    <n v="5"/>
    <s v="Completed"/>
    <s v="Card"/>
    <s v="New Lead"/>
    <n v="4179"/>
    <s v="LOW"/>
    <s v="MARKED CITY"/>
  </r>
  <r>
    <n v="1079"/>
    <d v="2026-02-20T00:00:00"/>
    <s v="Customer 78"/>
    <x v="0"/>
    <x v="1"/>
    <x v="1"/>
    <x v="3"/>
    <n v="9"/>
    <n v="4425"/>
    <n v="0"/>
    <s v="Completed"/>
    <s v="Upi"/>
    <s v="New Lead"/>
    <n v="39825"/>
    <s v="HIGH"/>
    <s v="OTHER CITY"/>
  </r>
  <r>
    <n v="1080"/>
    <d v="2026-04-19T00:00:00"/>
    <s v="Customer 79"/>
    <x v="4"/>
    <x v="2"/>
    <x v="4"/>
    <x v="0"/>
    <n v="4"/>
    <n v="4656"/>
    <n v="0"/>
    <s v="Pending"/>
    <s v="Upi"/>
    <s v="New Lead"/>
    <n v="18624"/>
    <s v="LOW"/>
    <s v="OTHER CITY"/>
  </r>
  <r>
    <n v="1081"/>
    <d v="2026-01-13T00:00:00"/>
    <s v="Customer 80"/>
    <x v="3"/>
    <x v="2"/>
    <x v="4"/>
    <x v="0"/>
    <n v="1"/>
    <n v="1513"/>
    <n v="0"/>
    <s v="Pending"/>
    <s v="Card"/>
    <s v="Repeat Customer"/>
    <n v="1513"/>
    <s v="LOW"/>
    <s v="OTHER CITY"/>
  </r>
  <r>
    <n v="1082"/>
    <d v="2026-03-30T00:00:00"/>
    <s v="Customer 81"/>
    <x v="2"/>
    <x v="1"/>
    <x v="1"/>
    <x v="0"/>
    <n v="10"/>
    <n v="2508"/>
    <n v="15"/>
    <s v="Completed"/>
    <s v="Upi"/>
    <s v="New Lead"/>
    <n v="25080"/>
    <s v="HIGH"/>
    <s v="OTHER CITY"/>
  </r>
  <r>
    <n v="1083"/>
    <d v="2026-03-04T00:00:00"/>
    <s v="Customer 82"/>
    <x v="1"/>
    <x v="2"/>
    <x v="3"/>
    <x v="2"/>
    <n v="2"/>
    <n v="2555"/>
    <n v="0"/>
    <s v="Pending"/>
    <s v="Upi"/>
    <s v="No Remark"/>
    <n v="5110"/>
    <s v="LOW"/>
    <s v="MARKED CITY"/>
  </r>
  <r>
    <n v="1084"/>
    <d v="2026-02-25T00:00:00"/>
    <s v="Customer 83"/>
    <x v="4"/>
    <x v="2"/>
    <x v="3"/>
    <x v="1"/>
    <n v="6"/>
    <n v="3179"/>
    <n v="5"/>
    <s v="Pending"/>
    <s v="Card"/>
    <s v="New Lead"/>
    <n v="19074"/>
    <s v="HIGH"/>
    <s v="OTHER CITY"/>
  </r>
  <r>
    <n v="1085"/>
    <d v="2026-03-01T00:00:00"/>
    <s v="Customer 84"/>
    <x v="3"/>
    <x v="0"/>
    <x v="5"/>
    <x v="1"/>
    <n v="3"/>
    <n v="2462"/>
    <n v="5"/>
    <s v="Pending"/>
    <s v="Cash"/>
    <s v="Urgent"/>
    <n v="7386"/>
    <s v="LOW"/>
    <s v="OTHER CITY"/>
  </r>
  <r>
    <n v="1086"/>
    <d v="2026-04-08T00:00:00"/>
    <s v="Customer 85"/>
    <x v="1"/>
    <x v="2"/>
    <x v="3"/>
    <x v="2"/>
    <n v="2"/>
    <n v="4560"/>
    <n v="0"/>
    <s v="Completed"/>
    <s v="Card"/>
    <s v="New Lead"/>
    <n v="9120"/>
    <s v="LOW"/>
    <s v="MARKED CITY"/>
  </r>
  <r>
    <n v="1087"/>
    <d v="2026-01-06T00:00:00"/>
    <s v="Customer 86"/>
    <x v="0"/>
    <x v="2"/>
    <x v="6"/>
    <x v="3"/>
    <n v="6"/>
    <n v="3102"/>
    <n v="5"/>
    <s v="Pending"/>
    <s v="Card"/>
    <s v="New Lead"/>
    <n v="18612"/>
    <s v="HIGH"/>
    <s v="OTHER CITY"/>
  </r>
  <r>
    <n v="1088"/>
    <d v="2026-03-13T00:00:00"/>
    <s v="Customer 87"/>
    <x v="3"/>
    <x v="1"/>
    <x v="2"/>
    <x v="3"/>
    <n v="2"/>
    <n v="3298"/>
    <n v="0"/>
    <s v="Completed"/>
    <s v="Card"/>
    <s v="No Remark"/>
    <n v="6596"/>
    <s v="LOW"/>
    <s v="OTHER CITY"/>
  </r>
  <r>
    <n v="1089"/>
    <d v="2026-01-27T00:00:00"/>
    <s v="Customer 88"/>
    <x v="3"/>
    <x v="0"/>
    <x v="0"/>
    <x v="3"/>
    <n v="6"/>
    <n v="2909"/>
    <n v="15"/>
    <s v="Completed"/>
    <s v="Upi"/>
    <s v="Repeat Customer"/>
    <n v="17454"/>
    <s v="HIGH"/>
    <s v="OTHER CITY"/>
  </r>
  <r>
    <n v="1090"/>
    <d v="2026-03-07T00:00:00"/>
    <s v="Customer 89"/>
    <x v="2"/>
    <x v="2"/>
    <x v="6"/>
    <x v="1"/>
    <n v="1"/>
    <n v="1957"/>
    <n v="10"/>
    <s v="Pending"/>
    <s v="Upi"/>
    <s v="Urgent"/>
    <n v="1957"/>
    <s v="LOW"/>
    <s v="OTHER CITY"/>
  </r>
  <r>
    <n v="1091"/>
    <d v="2026-01-03T00:00:00"/>
    <s v="Customer 90"/>
    <x v="0"/>
    <x v="0"/>
    <x v="0"/>
    <x v="0"/>
    <n v="2"/>
    <n v="1703"/>
    <n v="10"/>
    <s v="Pending"/>
    <s v="Upi"/>
    <s v="No Remark"/>
    <n v="3406"/>
    <s v="LOW"/>
    <s v="OTHER CITY"/>
  </r>
  <r>
    <n v="1092"/>
    <d v="2026-04-30T00:00:00"/>
    <s v="Customer 91"/>
    <x v="0"/>
    <x v="0"/>
    <x v="0"/>
    <x v="3"/>
    <n v="7"/>
    <n v="1418"/>
    <n v="5"/>
    <s v="Pending"/>
    <s v="Cash"/>
    <s v="No Remark"/>
    <n v="9926"/>
    <s v="HIGH"/>
    <s v="OTHER CITY"/>
  </r>
  <r>
    <n v="1093"/>
    <d v="2026-04-10T00:00:00"/>
    <s v="Customer 92"/>
    <x v="3"/>
    <x v="0"/>
    <x v="5"/>
    <x v="0"/>
    <n v="5"/>
    <n v="4271"/>
    <n v="0"/>
    <s v="Pending"/>
    <s v="Card"/>
    <s v="Urgent"/>
    <n v="21355"/>
    <s v="HIGH"/>
    <s v="OTHER CITY"/>
  </r>
  <r>
    <n v="1094"/>
    <d v="2026-05-06T00:00:00"/>
    <s v="Customer 93"/>
    <x v="3"/>
    <x v="2"/>
    <x v="3"/>
    <x v="0"/>
    <n v="1"/>
    <n v="666"/>
    <n v="15"/>
    <s v="Pending"/>
    <s v="Card"/>
    <s v="Repeat Customer"/>
    <n v="666"/>
    <s v="LOW"/>
    <s v="OTHER CITY"/>
  </r>
  <r>
    <n v="1095"/>
    <d v="2026-04-12T00:00:00"/>
    <s v="Customer 94"/>
    <x v="0"/>
    <x v="1"/>
    <x v="1"/>
    <x v="3"/>
    <n v="6"/>
    <n v="2059"/>
    <n v="5"/>
    <s v="Completed"/>
    <s v="Card"/>
    <s v="Repeat Customer"/>
    <n v="12354"/>
    <s v="HIGH"/>
    <s v="OTHER CITY"/>
  </r>
  <r>
    <n v="1096"/>
    <d v="2026-04-26T00:00:00"/>
    <s v="Customer 95"/>
    <x v="4"/>
    <x v="0"/>
    <x v="0"/>
    <x v="0"/>
    <n v="4"/>
    <n v="1564"/>
    <n v="0"/>
    <s v="Completed"/>
    <s v="Cash"/>
    <s v="Urgent"/>
    <n v="6256"/>
    <s v="LOW"/>
    <s v="OTHER CITY"/>
  </r>
  <r>
    <n v="1097"/>
    <d v="2026-05-24T00:00:00"/>
    <s v="Customer 96"/>
    <x v="0"/>
    <x v="0"/>
    <x v="0"/>
    <x v="2"/>
    <n v="10"/>
    <n v="1447"/>
    <n v="5"/>
    <s v="Completed"/>
    <s v="Cash"/>
    <s v="Repeat Customer"/>
    <n v="14470"/>
    <s v="HIGH"/>
    <s v="OTHER CITY"/>
  </r>
  <r>
    <n v="1098"/>
    <d v="2026-03-13T00:00:00"/>
    <s v="Customer 97"/>
    <x v="2"/>
    <x v="0"/>
    <x v="5"/>
    <x v="2"/>
    <n v="7"/>
    <n v="3739"/>
    <n v="0"/>
    <s v="Pending"/>
    <s v="Card"/>
    <s v="Repeat Customer"/>
    <n v="26173"/>
    <s v="HIGH"/>
    <s v="OTHER CITY"/>
  </r>
  <r>
    <n v="1099"/>
    <d v="2026-02-19T00:00:00"/>
    <s v="Customer 98"/>
    <x v="2"/>
    <x v="1"/>
    <x v="1"/>
    <x v="3"/>
    <n v="1"/>
    <n v="4096"/>
    <n v="10"/>
    <s v="Pending"/>
    <s v="Card"/>
    <s v="New Lead"/>
    <n v="4096"/>
    <s v="LOW"/>
    <s v="OTHER CITY"/>
  </r>
  <r>
    <n v="1100"/>
    <d v="2026-02-06T00:00:00"/>
    <s v="Customer 99"/>
    <x v="0"/>
    <x v="1"/>
    <x v="1"/>
    <x v="2"/>
    <n v="8"/>
    <n v="3693"/>
    <n v="10"/>
    <s v="Completed"/>
    <s v="Upi"/>
    <s v="Urgent"/>
    <n v="29544"/>
    <s v="HIGH"/>
    <s v="OTHER CITY"/>
  </r>
  <r>
    <n v="1101"/>
    <d v="2026-05-09T00:00:00"/>
    <s v="Customer 100"/>
    <x v="2"/>
    <x v="0"/>
    <x v="0"/>
    <x v="2"/>
    <n v="1"/>
    <n v="3604"/>
    <n v="10"/>
    <s v="Pending"/>
    <s v="Card"/>
    <s v="No Remark"/>
    <n v="3604"/>
    <s v="LOW"/>
    <s v="OTHER C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78C99-AFBF-4538-A402-C56CC7E206D6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R40:S45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" fld="13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5602B-3BB6-47B5-AED8-6B31033F4B2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R32:S38" firstHeaderRow="1" firstDataRow="1" firstDataCol="1"/>
  <pivotFields count="16">
    <pivotField showAll="0"/>
    <pivotField numFmtId="14"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" fld="13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DF609-0106-4C15-9D77-950EB344613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R21:S29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677CB-1042-4E72-8D93-331546C8DDC7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R11:S15" firstHeaderRow="1" firstDataRow="1" firstDataCol="1"/>
  <pivotFields count="16">
    <pivotField showAll="0"/>
    <pivotField numFmtId="14"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8">
        <item x="1"/>
        <item x="2"/>
        <item x="3"/>
        <item x="6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" fld="13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F68CBD-9A86-4E9E-9C8F-95353D465308}" autoFormatId="16" applyNumberFormats="0" applyBorderFormats="0" applyFontFormats="0" applyPatternFormats="0" applyAlignmentFormats="0" applyWidthHeightFormats="0">
  <queryTableRefresh nextId="17" unboundColumnsRight="3">
    <queryTableFields count="16">
      <queryTableField id="1" name="Order ID" tableColumnId="1"/>
      <queryTableField id="2" name="Order Date" tableColumnId="2"/>
      <queryTableField id="3" name="Customer Name" tableColumnId="3"/>
      <queryTableField id="4" name="City" tableColumnId="4"/>
      <queryTableField id="5" name="Department" tableColumnId="5"/>
      <queryTableField id="6" name="Product" tableColumnId="6"/>
      <queryTableField id="7" name="Salesperson" tableColumnId="7"/>
      <queryTableField id="8" name="Quantity" tableColumnId="8"/>
      <queryTableField id="9" name="Unit Price" tableColumnId="9"/>
      <queryTableField id="10" name="Discount %" tableColumnId="10"/>
      <queryTableField id="11" name="Status " tableColumnId="11"/>
      <queryTableField id="12" name="Payment Method" tableColumnId="12"/>
      <queryTableField id="13" name="Remarks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A917C1-FC4B-4856-BE42-CB9AD647A126}" name="Table1_1" displayName="Table1_1" ref="A1:P101" tableType="queryTable" totalsRowShown="0">
  <autoFilter ref="A1:P101" xr:uid="{DCA917C1-FC4B-4856-BE42-CB9AD647A126}"/>
  <tableColumns count="16">
    <tableColumn id="1" xr3:uid="{BAAB9655-5927-4651-895A-47715302DF88}" uniqueName="1" name="Order ID" queryTableFieldId="1"/>
    <tableColumn id="2" xr3:uid="{D247C48D-8F06-428C-99D2-55E2BD87E3FA}" uniqueName="2" name="Order Date" queryTableFieldId="2" dataDxfId="11"/>
    <tableColumn id="3" xr3:uid="{926218B4-0CFB-4F12-9E33-97CA102FDC33}" uniqueName="3" name="Customer Name" queryTableFieldId="3" dataDxfId="10"/>
    <tableColumn id="4" xr3:uid="{2286E44D-C381-423B-BDDD-37BD5D8DCBC2}" uniqueName="4" name="City" queryTableFieldId="4" dataDxfId="9"/>
    <tableColumn id="5" xr3:uid="{5D102FCD-172B-48D3-B8B6-8F3FD0CEA175}" uniqueName="5" name="Department" queryTableFieldId="5" dataDxfId="8"/>
    <tableColumn id="6" xr3:uid="{56C4630B-D939-4B85-BE42-2CA644E61D8B}" uniqueName="6" name="Product" queryTableFieldId="6" dataDxfId="7"/>
    <tableColumn id="7" xr3:uid="{332CC528-B6DB-43D7-AAB3-184906960325}" uniqueName="7" name="Salesperson" queryTableFieldId="7" dataDxfId="6"/>
    <tableColumn id="8" xr3:uid="{07C97BDB-4BAE-40CF-A1B8-3F1BEB70D88F}" uniqueName="8" name="Quantity" queryTableFieldId="8"/>
    <tableColumn id="9" xr3:uid="{BB7F6703-A795-421E-A501-2C13672E8525}" uniqueName="9" name="Unit Price" queryTableFieldId="9"/>
    <tableColumn id="10" xr3:uid="{B82F808F-D38E-422C-93BB-433C5B09117E}" uniqueName="10" name="Discount %" queryTableFieldId="10"/>
    <tableColumn id="11" xr3:uid="{8DF7C1C1-0B4A-4571-8BC3-FB123B15C921}" uniqueName="11" name="Status " queryTableFieldId="11" dataDxfId="5"/>
    <tableColumn id="12" xr3:uid="{452CA444-F99A-492F-BC6F-DF9AF02DEE3F}" uniqueName="12" name="Payment Method" queryTableFieldId="12" dataDxfId="4"/>
    <tableColumn id="13" xr3:uid="{25381406-2577-4352-B796-C2B84F9653B5}" uniqueName="13" name="Remarks" queryTableFieldId="13" dataDxfId="3"/>
    <tableColumn id="14" xr3:uid="{08FD4C22-8393-40CF-99F1-50EC69A1B01B}" uniqueName="14" name="revenu" queryTableFieldId="14" dataDxfId="2">
      <calculatedColumnFormula>Table1_1[[#This Row],[Unit Price]]*Table1_1[[#This Row],[Quantity]]</calculatedColumnFormula>
    </tableColumn>
    <tableColumn id="15" xr3:uid="{1C9932C2-0A17-4141-8325-899F122E5A7F}" uniqueName="15" name="order category" queryTableFieldId="15" dataDxfId="1">
      <calculatedColumnFormula>IF(Table1_1[[#This Row],[Quantity]]&gt;=5,"HIGH","LOW")</calculatedColumnFormula>
    </tableColumn>
    <tableColumn id="16" xr3:uid="{B49EA508-2A2A-4303-853E-BB11DE96F798}" uniqueName="16" name="city category" queryTableFieldId="16" dataDxfId="0">
      <calculatedColumnFormula>IF(Table1_1[[#This Row],[City]]="CALICUT","MARKED CITY","OTHER CITY")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41AB7A-260F-4E57-BDFE-13B0679CC433}" name="Table6" displayName="Table6" ref="R5:T9" totalsRowShown="0">
  <autoFilter ref="R5:T9" xr:uid="{5B41AB7A-260F-4E57-BDFE-13B0679CC433}"/>
  <tableColumns count="3">
    <tableColumn id="1" xr3:uid="{45D119D0-917D-4F6B-9631-BD9E3C0E872D}" name="Column1"/>
    <tableColumn id="2" xr3:uid="{2FB5174F-4CDC-4C95-8501-7602CA04B76D}" name="Column2"/>
    <tableColumn id="3" xr3:uid="{8A9FD048-6E1C-4CB8-AFB4-E90F273F7749}" name="Column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83650-C174-42D9-8352-9082C05782C3}" name="Table1" displayName="Table1" ref="A1:M101" totalsRowShown="0">
  <autoFilter ref="A1:M101" xr:uid="{5B383650-C174-42D9-8352-9082C05782C3}"/>
  <tableColumns count="13">
    <tableColumn id="1" xr3:uid="{2D56D5CE-B88E-4E16-8955-3A60E8B7A599}" name="Order ID"/>
    <tableColumn id="2" xr3:uid="{1B7305A3-628B-48B0-AF27-AFBA66FEC05A}" name="Order Date" dataDxfId="12"/>
    <tableColumn id="3" xr3:uid="{11D5B114-0734-4C23-B2D6-B68CE6C01001}" name="Customer Name"/>
    <tableColumn id="4" xr3:uid="{88752909-B49E-4DFF-99E4-03354A842FE0}" name="City"/>
    <tableColumn id="5" xr3:uid="{7856DD69-1CF0-4ACD-92D5-2356AAB79DAF}" name="Department"/>
    <tableColumn id="6" xr3:uid="{37E69651-611A-413D-B994-E3F1560A003C}" name="Product"/>
    <tableColumn id="7" xr3:uid="{B7386FB6-96FE-4D93-B083-6B25610DE7A6}" name="Salesperson"/>
    <tableColumn id="8" xr3:uid="{FFE8B964-08BD-4895-9419-DC2BB8664A3E}" name="Quantity"/>
    <tableColumn id="9" xr3:uid="{27581A20-755E-46CB-B1C9-50CDF4111ACD}" name="Unit Price"/>
    <tableColumn id="10" xr3:uid="{4BEE76D1-5E19-480C-90D2-9B0128817D1C}" name="Discount %"/>
    <tableColumn id="11" xr3:uid="{05B50FB2-0127-4C07-A939-CC88ADF0B77C}" name="Status "/>
    <tableColumn id="12" xr3:uid="{DDD67936-5682-45B0-83B9-312D29E79E4E}" name="Payment Method"/>
    <tableColumn id="13" xr3:uid="{2C45BBF9-2761-477E-AB48-778AD48AAC69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D1DB-8DD9-48E6-BA22-2C9AA3DE1144}">
  <dimension ref="A1:T101"/>
  <sheetViews>
    <sheetView tabSelected="1" zoomScale="85" zoomScaleNormal="85" workbookViewId="0">
      <selection activeCell="Y65" sqref="Y65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7.7109375" bestFit="1" customWidth="1"/>
    <col min="4" max="4" width="11.140625" bestFit="1" customWidth="1"/>
    <col min="5" max="5" width="14.5703125" bestFit="1" customWidth="1"/>
    <col min="6" max="6" width="10.140625" bestFit="1" customWidth="1"/>
    <col min="7" max="7" width="14" bestFit="1" customWidth="1"/>
    <col min="8" max="8" width="11" bestFit="1" customWidth="1"/>
    <col min="9" max="9" width="12" bestFit="1" customWidth="1"/>
    <col min="10" max="10" width="13" bestFit="1" customWidth="1"/>
    <col min="11" max="11" width="10.85546875" bestFit="1" customWidth="1"/>
    <col min="12" max="12" width="18.85546875" bestFit="1" customWidth="1"/>
    <col min="13" max="13" width="16.42578125" bestFit="1" customWidth="1"/>
    <col min="15" max="15" width="12" customWidth="1"/>
    <col min="16" max="16" width="12.5703125" customWidth="1"/>
    <col min="18" max="18" width="15.28515625" bestFit="1" customWidth="1"/>
    <col min="19" max="19" width="14" bestFit="1" customWidth="1"/>
    <col min="20" max="20" width="1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153</v>
      </c>
      <c r="O1" t="s">
        <v>154</v>
      </c>
      <c r="P1" t="s">
        <v>155</v>
      </c>
    </row>
    <row r="2" spans="1:20" x14ac:dyDescent="0.25">
      <c r="A2">
        <v>1002</v>
      </c>
      <c r="B2" s="2">
        <v>46137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>
        <v>6</v>
      </c>
      <c r="I2">
        <v>4924</v>
      </c>
      <c r="J2">
        <v>0</v>
      </c>
      <c r="K2" s="3" t="s">
        <v>141</v>
      </c>
      <c r="L2" s="3" t="s">
        <v>142</v>
      </c>
      <c r="M2" s="3" t="s">
        <v>148</v>
      </c>
      <c r="N2" s="3">
        <f>Table1_1[[#This Row],[Unit Price]]*Table1_1[[#This Row],[Quantity]]</f>
        <v>29544</v>
      </c>
      <c r="O2" s="3" t="str">
        <f>IF(Table1_1[[#This Row],[Quantity]]&gt;=5,"HIGH","LOW")</f>
        <v>HIGH</v>
      </c>
      <c r="P2" s="3" t="str">
        <f>IF(Table1_1[[#This Row],[City]]="CALICUT","MARKED CITY","OTHER CITY")</f>
        <v>OTHER CITY</v>
      </c>
    </row>
    <row r="3" spans="1:20" x14ac:dyDescent="0.25">
      <c r="A3">
        <v>1003</v>
      </c>
      <c r="B3" s="2">
        <v>46102</v>
      </c>
      <c r="C3" s="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>
        <v>2</v>
      </c>
      <c r="I3">
        <v>3788</v>
      </c>
      <c r="J3">
        <v>15</v>
      </c>
      <c r="K3" s="3" t="s">
        <v>141</v>
      </c>
      <c r="L3" s="3" t="s">
        <v>142</v>
      </c>
      <c r="M3" s="3" t="s">
        <v>152</v>
      </c>
      <c r="N3" s="3">
        <f>Table1_1[[#This Row],[Unit Price]]*Table1_1[[#This Row],[Quantity]]</f>
        <v>7576</v>
      </c>
      <c r="O3" s="3" t="str">
        <f>IF(Table1_1[[#This Row],[Quantity]]&gt;=5,"HIGH","LOW")</f>
        <v>LOW</v>
      </c>
      <c r="P3" s="3" t="str">
        <f>IF(Table1_1[[#This Row],[City]]="CALICUT","MARKED CITY","OTHER CITY")</f>
        <v>OTHER CITY</v>
      </c>
    </row>
    <row r="4" spans="1:20" x14ac:dyDescent="0.25">
      <c r="A4">
        <v>1004</v>
      </c>
      <c r="B4" s="2">
        <v>46196</v>
      </c>
      <c r="C4" s="3" t="s">
        <v>23</v>
      </c>
      <c r="D4" s="3" t="s">
        <v>143</v>
      </c>
      <c r="E4" s="3" t="s">
        <v>25</v>
      </c>
      <c r="F4" s="3" t="s">
        <v>26</v>
      </c>
      <c r="G4" s="3" t="s">
        <v>27</v>
      </c>
      <c r="H4">
        <v>9</v>
      </c>
      <c r="I4">
        <v>636</v>
      </c>
      <c r="J4">
        <v>5</v>
      </c>
      <c r="K4" s="3" t="s">
        <v>144</v>
      </c>
      <c r="L4" s="3" t="s">
        <v>29</v>
      </c>
      <c r="M4" s="3" t="s">
        <v>152</v>
      </c>
      <c r="N4" s="3">
        <f>Table1_1[[#This Row],[Unit Price]]*Table1_1[[#This Row],[Quantity]]</f>
        <v>5724</v>
      </c>
      <c r="O4" s="3" t="str">
        <f>IF(Table1_1[[#This Row],[Quantity]]&gt;=5,"HIGH","LOW")</f>
        <v>HIGH</v>
      </c>
      <c r="P4" s="3" t="str">
        <f>IF(Table1_1[[#This Row],[City]]="CALICUT","MARKED CITY","OTHER CITY")</f>
        <v>MARKED CITY</v>
      </c>
    </row>
    <row r="5" spans="1:20" x14ac:dyDescent="0.25">
      <c r="A5">
        <v>1005</v>
      </c>
      <c r="B5" s="2">
        <v>46101</v>
      </c>
      <c r="C5" s="3" t="s">
        <v>30</v>
      </c>
      <c r="D5" s="3" t="s">
        <v>145</v>
      </c>
      <c r="E5" s="3" t="s">
        <v>25</v>
      </c>
      <c r="F5" s="3" t="s">
        <v>32</v>
      </c>
      <c r="G5" s="3" t="s">
        <v>27</v>
      </c>
      <c r="H5">
        <v>5</v>
      </c>
      <c r="I5">
        <v>4721</v>
      </c>
      <c r="J5">
        <v>5</v>
      </c>
      <c r="K5" s="3" t="s">
        <v>144</v>
      </c>
      <c r="L5" s="3" t="s">
        <v>33</v>
      </c>
      <c r="M5" s="3" t="s">
        <v>148</v>
      </c>
      <c r="N5" s="3">
        <f>Table1_1[[#This Row],[Unit Price]]*Table1_1[[#This Row],[Quantity]]</f>
        <v>23605</v>
      </c>
      <c r="O5" s="3" t="str">
        <f>IF(Table1_1[[#This Row],[Quantity]]&gt;=5,"HIGH","LOW")</f>
        <v>HIGH</v>
      </c>
      <c r="P5" s="3" t="str">
        <f>IF(Table1_1[[#This Row],[City]]="CALICUT","MARKED CITY","OTHER CITY")</f>
        <v>OTHER CITY</v>
      </c>
      <c r="R5" t="s">
        <v>151</v>
      </c>
      <c r="S5" t="s">
        <v>162</v>
      </c>
      <c r="T5" t="s">
        <v>163</v>
      </c>
    </row>
    <row r="6" spans="1:20" x14ac:dyDescent="0.25">
      <c r="A6">
        <v>1006</v>
      </c>
      <c r="B6" s="2">
        <v>46091</v>
      </c>
      <c r="C6" s="3" t="s">
        <v>34</v>
      </c>
      <c r="D6" s="3" t="s">
        <v>146</v>
      </c>
      <c r="E6" s="3" t="s">
        <v>36</v>
      </c>
      <c r="F6" s="3" t="s">
        <v>37</v>
      </c>
      <c r="G6" s="3" t="s">
        <v>17</v>
      </c>
      <c r="H6">
        <v>5</v>
      </c>
      <c r="I6">
        <v>310</v>
      </c>
      <c r="J6">
        <v>10</v>
      </c>
      <c r="K6" s="3" t="s">
        <v>141</v>
      </c>
      <c r="L6" s="3" t="s">
        <v>33</v>
      </c>
      <c r="M6" s="3" t="s">
        <v>148</v>
      </c>
      <c r="N6" s="3">
        <f>Table1_1[[#This Row],[Unit Price]]*Table1_1[[#This Row],[Quantity]]</f>
        <v>1550</v>
      </c>
      <c r="O6" s="3" t="str">
        <f>IF(Table1_1[[#This Row],[Quantity]]&gt;=5,"HIGH","LOW")</f>
        <v>HIGH</v>
      </c>
      <c r="P6" s="3" t="str">
        <f>IF(Table1_1[[#This Row],[City]]="CALICUT","MARKED CITY","OTHER CITY")</f>
        <v>OTHER CITY</v>
      </c>
      <c r="R6" t="s">
        <v>156</v>
      </c>
      <c r="S6" t="s">
        <v>157</v>
      </c>
      <c r="T6">
        <f>SUM(Table1_1[revenu])</f>
        <v>1315594</v>
      </c>
    </row>
    <row r="7" spans="1:20" x14ac:dyDescent="0.25">
      <c r="A7">
        <v>1007</v>
      </c>
      <c r="B7" s="2">
        <v>46170</v>
      </c>
      <c r="C7" s="3" t="s">
        <v>38</v>
      </c>
      <c r="D7" s="3" t="s">
        <v>143</v>
      </c>
      <c r="E7" s="3" t="s">
        <v>36</v>
      </c>
      <c r="F7" s="3" t="s">
        <v>39</v>
      </c>
      <c r="G7" s="3" t="s">
        <v>40</v>
      </c>
      <c r="H7">
        <v>4</v>
      </c>
      <c r="I7">
        <v>1365</v>
      </c>
      <c r="J7">
        <v>5</v>
      </c>
      <c r="K7" s="3" t="s">
        <v>144</v>
      </c>
      <c r="L7" s="3" t="s">
        <v>29</v>
      </c>
      <c r="M7" s="3" t="s">
        <v>149</v>
      </c>
      <c r="N7" s="3">
        <f>Table1_1[[#This Row],[Unit Price]]*Table1_1[[#This Row],[Quantity]]</f>
        <v>5460</v>
      </c>
      <c r="O7" s="3" t="str">
        <f>IF(Table1_1[[#This Row],[Quantity]]&gt;=5,"HIGH","LOW")</f>
        <v>LOW</v>
      </c>
      <c r="P7" s="3" t="str">
        <f>IF(Table1_1[[#This Row],[City]]="CALICUT","MARKED CITY","OTHER CITY")</f>
        <v>MARKED CITY</v>
      </c>
      <c r="R7" t="s">
        <v>158</v>
      </c>
      <c r="S7" t="s">
        <v>159</v>
      </c>
      <c r="T7">
        <f>SUMIF(Table1_1[Product],F15,Table1_1[revenu])</f>
        <v>117749</v>
      </c>
    </row>
    <row r="8" spans="1:20" x14ac:dyDescent="0.25">
      <c r="A8">
        <v>1008</v>
      </c>
      <c r="B8" s="2">
        <v>46194</v>
      </c>
      <c r="C8" s="3" t="s">
        <v>42</v>
      </c>
      <c r="D8" s="3" t="s">
        <v>147</v>
      </c>
      <c r="E8" s="3" t="s">
        <v>25</v>
      </c>
      <c r="F8" s="3" t="s">
        <v>26</v>
      </c>
      <c r="G8" s="3" t="s">
        <v>40</v>
      </c>
      <c r="H8">
        <v>4</v>
      </c>
      <c r="I8">
        <v>3367</v>
      </c>
      <c r="J8">
        <v>5</v>
      </c>
      <c r="K8" s="3" t="s">
        <v>141</v>
      </c>
      <c r="L8" s="3" t="s">
        <v>29</v>
      </c>
      <c r="M8" s="3" t="s">
        <v>148</v>
      </c>
      <c r="N8" s="3">
        <f>Table1_1[[#This Row],[Unit Price]]*Table1_1[[#This Row],[Quantity]]</f>
        <v>13468</v>
      </c>
      <c r="O8" s="3" t="str">
        <f>IF(Table1_1[[#This Row],[Quantity]]&gt;=5,"HIGH","LOW")</f>
        <v>LOW</v>
      </c>
      <c r="P8" s="3" t="str">
        <f>IF(Table1_1[[#This Row],[City]]="CALICUT","MARKED CITY","OTHER CITY")</f>
        <v>OTHER CITY</v>
      </c>
      <c r="R8" t="s">
        <v>160</v>
      </c>
      <c r="S8" t="s">
        <v>161</v>
      </c>
      <c r="T8">
        <f>_xlfn.MAXIFS(Table1_1[revenu],Table1_1[City],"KANNUR")</f>
        <v>39825</v>
      </c>
    </row>
    <row r="9" spans="1:20" x14ac:dyDescent="0.25">
      <c r="A9">
        <v>1009</v>
      </c>
      <c r="B9" s="2">
        <v>46080</v>
      </c>
      <c r="C9" s="3" t="s">
        <v>44</v>
      </c>
      <c r="D9" s="3" t="s">
        <v>143</v>
      </c>
      <c r="E9" s="3" t="s">
        <v>15</v>
      </c>
      <c r="F9" s="3" t="s">
        <v>45</v>
      </c>
      <c r="G9" s="3" t="s">
        <v>46</v>
      </c>
      <c r="H9">
        <v>7</v>
      </c>
      <c r="I9">
        <v>635</v>
      </c>
      <c r="J9">
        <v>10</v>
      </c>
      <c r="K9" s="3" t="s">
        <v>144</v>
      </c>
      <c r="L9" s="3" t="s">
        <v>33</v>
      </c>
      <c r="M9" s="3" t="s">
        <v>148</v>
      </c>
      <c r="N9" s="3">
        <f>Table1_1[[#This Row],[Unit Price]]*Table1_1[[#This Row],[Quantity]]</f>
        <v>4445</v>
      </c>
      <c r="O9" s="3" t="str">
        <f>IF(Table1_1[[#This Row],[Quantity]]&gt;=5,"HIGH","LOW")</f>
        <v>HIGH</v>
      </c>
      <c r="P9" s="3" t="str">
        <f>IF(Table1_1[[#This Row],[City]]="CALICUT","MARKED CITY","OTHER CITY")</f>
        <v>MARKED CITY</v>
      </c>
      <c r="R9" t="s">
        <v>164</v>
      </c>
      <c r="S9" t="s">
        <v>165</v>
      </c>
      <c r="T9">
        <f>AVERAGE(Table1_1[revenu])</f>
        <v>13155.94</v>
      </c>
    </row>
    <row r="10" spans="1:20" x14ac:dyDescent="0.25">
      <c r="A10">
        <v>1010</v>
      </c>
      <c r="B10" s="2">
        <v>46075</v>
      </c>
      <c r="C10" s="3" t="s">
        <v>47</v>
      </c>
      <c r="D10" s="3" t="s">
        <v>147</v>
      </c>
      <c r="E10" s="3" t="s">
        <v>15</v>
      </c>
      <c r="F10" s="3" t="s">
        <v>45</v>
      </c>
      <c r="G10" s="3" t="s">
        <v>40</v>
      </c>
      <c r="H10">
        <v>2</v>
      </c>
      <c r="I10">
        <v>931</v>
      </c>
      <c r="J10">
        <v>10</v>
      </c>
      <c r="K10" s="3" t="s">
        <v>144</v>
      </c>
      <c r="L10" s="3" t="s">
        <v>33</v>
      </c>
      <c r="M10" s="3" t="s">
        <v>150</v>
      </c>
      <c r="N10" s="3">
        <f>Table1_1[[#This Row],[Unit Price]]*Table1_1[[#This Row],[Quantity]]</f>
        <v>1862</v>
      </c>
      <c r="O10" s="3" t="str">
        <f>IF(Table1_1[[#This Row],[Quantity]]&gt;=5,"HIGH","LOW")</f>
        <v>LOW</v>
      </c>
      <c r="P10" s="3" t="str">
        <f>IF(Table1_1[[#This Row],[City]]="CALICUT","MARKED CITY","OTHER CITY")</f>
        <v>OTHER CITY</v>
      </c>
    </row>
    <row r="11" spans="1:20" x14ac:dyDescent="0.25">
      <c r="A11">
        <v>1011</v>
      </c>
      <c r="B11" s="2">
        <v>46067</v>
      </c>
      <c r="C11" s="3" t="s">
        <v>49</v>
      </c>
      <c r="D11" s="3" t="s">
        <v>14</v>
      </c>
      <c r="E11" s="3" t="s">
        <v>15</v>
      </c>
      <c r="F11" s="3" t="s">
        <v>16</v>
      </c>
      <c r="G11" s="3" t="s">
        <v>40</v>
      </c>
      <c r="H11">
        <v>2</v>
      </c>
      <c r="I11">
        <v>1634</v>
      </c>
      <c r="J11">
        <v>15</v>
      </c>
      <c r="K11" s="3" t="s">
        <v>144</v>
      </c>
      <c r="L11" s="3" t="s">
        <v>29</v>
      </c>
      <c r="M11" s="3" t="s">
        <v>152</v>
      </c>
      <c r="N11" s="3">
        <f>Table1_1[[#This Row],[Unit Price]]*Table1_1[[#This Row],[Quantity]]</f>
        <v>3268</v>
      </c>
      <c r="O11" s="3" t="str">
        <f>IF(Table1_1[[#This Row],[Quantity]]&gt;=5,"HIGH","LOW")</f>
        <v>LOW</v>
      </c>
      <c r="P11" s="3" t="str">
        <f>IF(Table1_1[[#This Row],[City]]="CALICUT","MARKED CITY","OTHER CITY")</f>
        <v>OTHER CITY</v>
      </c>
      <c r="R11" s="4" t="s">
        <v>166</v>
      </c>
      <c r="S11" t="s">
        <v>168</v>
      </c>
    </row>
    <row r="12" spans="1:20" x14ac:dyDescent="0.25">
      <c r="A12">
        <v>1012</v>
      </c>
      <c r="B12" s="2">
        <v>46076</v>
      </c>
      <c r="C12" s="3" t="s">
        <v>50</v>
      </c>
      <c r="D12" s="3" t="s">
        <v>143</v>
      </c>
      <c r="E12" s="3" t="s">
        <v>25</v>
      </c>
      <c r="F12" s="3" t="s">
        <v>32</v>
      </c>
      <c r="G12" s="3" t="s">
        <v>46</v>
      </c>
      <c r="H12">
        <v>7</v>
      </c>
      <c r="I12">
        <v>4252</v>
      </c>
      <c r="J12">
        <v>15</v>
      </c>
      <c r="K12" s="3" t="s">
        <v>144</v>
      </c>
      <c r="L12" s="3" t="s">
        <v>142</v>
      </c>
      <c r="M12" s="3" t="s">
        <v>152</v>
      </c>
      <c r="N12" s="3">
        <f>Table1_1[[#This Row],[Unit Price]]*Table1_1[[#This Row],[Quantity]]</f>
        <v>29764</v>
      </c>
      <c r="O12" s="3" t="str">
        <f>IF(Table1_1[[#This Row],[Quantity]]&gt;=5,"HIGH","LOW")</f>
        <v>HIGH</v>
      </c>
      <c r="P12" s="3" t="str">
        <f>IF(Table1_1[[#This Row],[City]]="CALICUT","MARKED CITY","OTHER CITY")</f>
        <v>MARKED CITY</v>
      </c>
      <c r="R12" s="5" t="s">
        <v>36</v>
      </c>
      <c r="S12" s="3">
        <v>316210</v>
      </c>
    </row>
    <row r="13" spans="1:20" x14ac:dyDescent="0.25">
      <c r="A13">
        <v>1013</v>
      </c>
      <c r="B13" s="2">
        <v>46189</v>
      </c>
      <c r="C13" s="3" t="s">
        <v>51</v>
      </c>
      <c r="D13" s="3" t="s">
        <v>143</v>
      </c>
      <c r="E13" s="3" t="s">
        <v>15</v>
      </c>
      <c r="F13" s="3" t="s">
        <v>16</v>
      </c>
      <c r="G13" s="3" t="s">
        <v>17</v>
      </c>
      <c r="H13">
        <v>2</v>
      </c>
      <c r="I13">
        <v>2374</v>
      </c>
      <c r="J13">
        <v>10</v>
      </c>
      <c r="K13" s="3" t="s">
        <v>141</v>
      </c>
      <c r="L13" s="3" t="s">
        <v>33</v>
      </c>
      <c r="M13" s="3" t="s">
        <v>152</v>
      </c>
      <c r="N13" s="3">
        <f>Table1_1[[#This Row],[Unit Price]]*Table1_1[[#This Row],[Quantity]]</f>
        <v>4748</v>
      </c>
      <c r="O13" s="3" t="str">
        <f>IF(Table1_1[[#This Row],[Quantity]]&gt;=5,"HIGH","LOW")</f>
        <v>LOW</v>
      </c>
      <c r="P13" s="3" t="str">
        <f>IF(Table1_1[[#This Row],[City]]="CALICUT","MARKED CITY","OTHER CITY")</f>
        <v>MARKED CITY</v>
      </c>
      <c r="R13" s="5" t="s">
        <v>25</v>
      </c>
      <c r="S13" s="3">
        <v>489860</v>
      </c>
    </row>
    <row r="14" spans="1:20" x14ac:dyDescent="0.25">
      <c r="A14">
        <v>1014</v>
      </c>
      <c r="B14" s="2">
        <v>46193</v>
      </c>
      <c r="C14" s="3" t="s">
        <v>52</v>
      </c>
      <c r="D14" s="3" t="s">
        <v>147</v>
      </c>
      <c r="E14" s="3" t="s">
        <v>15</v>
      </c>
      <c r="F14" s="3" t="s">
        <v>16</v>
      </c>
      <c r="G14" s="3" t="s">
        <v>17</v>
      </c>
      <c r="H14">
        <v>5</v>
      </c>
      <c r="I14">
        <v>1612</v>
      </c>
      <c r="J14">
        <v>5</v>
      </c>
      <c r="K14" s="3" t="s">
        <v>144</v>
      </c>
      <c r="L14" s="3" t="s">
        <v>29</v>
      </c>
      <c r="M14" s="3" t="s">
        <v>149</v>
      </c>
      <c r="N14" s="3">
        <f>Table1_1[[#This Row],[Unit Price]]*Table1_1[[#This Row],[Quantity]]</f>
        <v>8060</v>
      </c>
      <c r="O14" s="3" t="str">
        <f>IF(Table1_1[[#This Row],[Quantity]]&gt;=5,"HIGH","LOW")</f>
        <v>HIGH</v>
      </c>
      <c r="P14" s="3" t="str">
        <f>IF(Table1_1[[#This Row],[City]]="CALICUT","MARKED CITY","OTHER CITY")</f>
        <v>OTHER CITY</v>
      </c>
      <c r="R14" s="5" t="s">
        <v>15</v>
      </c>
      <c r="S14" s="3">
        <v>509524</v>
      </c>
    </row>
    <row r="15" spans="1:20" x14ac:dyDescent="0.25">
      <c r="A15">
        <v>1015</v>
      </c>
      <c r="B15" s="2">
        <v>46182</v>
      </c>
      <c r="C15" s="3" t="s">
        <v>53</v>
      </c>
      <c r="D15" s="3" t="s">
        <v>143</v>
      </c>
      <c r="E15" s="3" t="s">
        <v>36</v>
      </c>
      <c r="F15" s="3" t="s">
        <v>54</v>
      </c>
      <c r="G15" s="3" t="s">
        <v>46</v>
      </c>
      <c r="H15">
        <v>10</v>
      </c>
      <c r="I15">
        <v>1044</v>
      </c>
      <c r="J15">
        <v>15</v>
      </c>
      <c r="K15" s="3" t="s">
        <v>141</v>
      </c>
      <c r="L15" s="3" t="s">
        <v>29</v>
      </c>
      <c r="M15" s="3" t="s">
        <v>148</v>
      </c>
      <c r="N15" s="3">
        <f>Table1_1[[#This Row],[Unit Price]]*Table1_1[[#This Row],[Quantity]]</f>
        <v>10440</v>
      </c>
      <c r="O15" s="3" t="str">
        <f>IF(Table1_1[[#This Row],[Quantity]]&gt;=5,"HIGH","LOW")</f>
        <v>HIGH</v>
      </c>
      <c r="P15" s="3" t="str">
        <f>IF(Table1_1[[#This Row],[City]]="CALICUT","MARKED CITY","OTHER CITY")</f>
        <v>MARKED CITY</v>
      </c>
      <c r="R15" s="5" t="s">
        <v>167</v>
      </c>
      <c r="S15" s="3">
        <v>1315594</v>
      </c>
    </row>
    <row r="16" spans="1:20" x14ac:dyDescent="0.25">
      <c r="A16">
        <v>1016</v>
      </c>
      <c r="B16" s="2">
        <v>46113</v>
      </c>
      <c r="C16" s="3" t="s">
        <v>55</v>
      </c>
      <c r="D16" s="3" t="s">
        <v>147</v>
      </c>
      <c r="E16" s="3" t="s">
        <v>36</v>
      </c>
      <c r="F16" s="3" t="s">
        <v>54</v>
      </c>
      <c r="G16" s="3" t="s">
        <v>46</v>
      </c>
      <c r="H16">
        <v>9</v>
      </c>
      <c r="I16">
        <v>3043</v>
      </c>
      <c r="J16">
        <v>10</v>
      </c>
      <c r="K16" s="3" t="s">
        <v>144</v>
      </c>
      <c r="L16" s="3" t="s">
        <v>33</v>
      </c>
      <c r="M16" s="3" t="s">
        <v>152</v>
      </c>
      <c r="N16" s="3">
        <f>Table1_1[[#This Row],[Unit Price]]*Table1_1[[#This Row],[Quantity]]</f>
        <v>27387</v>
      </c>
      <c r="O16" s="3" t="str">
        <f>IF(Table1_1[[#This Row],[Quantity]]&gt;=5,"HIGH","LOW")</f>
        <v>HIGH</v>
      </c>
      <c r="P16" s="3" t="str">
        <f>IF(Table1_1[[#This Row],[City]]="CALICUT","MARKED CITY","OTHER CITY")</f>
        <v>OTHER CITY</v>
      </c>
    </row>
    <row r="17" spans="1:19" x14ac:dyDescent="0.25">
      <c r="A17">
        <v>1017</v>
      </c>
      <c r="B17" s="2">
        <v>46197</v>
      </c>
      <c r="C17" s="3" t="s">
        <v>56</v>
      </c>
      <c r="D17" s="3" t="s">
        <v>14</v>
      </c>
      <c r="E17" s="3" t="s">
        <v>15</v>
      </c>
      <c r="F17" s="3" t="s">
        <v>16</v>
      </c>
      <c r="G17" s="3" t="s">
        <v>17</v>
      </c>
      <c r="H17">
        <v>1</v>
      </c>
      <c r="I17">
        <v>319</v>
      </c>
      <c r="J17">
        <v>5</v>
      </c>
      <c r="K17" s="3" t="s">
        <v>144</v>
      </c>
      <c r="L17" s="3" t="s">
        <v>33</v>
      </c>
      <c r="M17" s="3" t="s">
        <v>149</v>
      </c>
      <c r="N17" s="3">
        <f>Table1_1[[#This Row],[Unit Price]]*Table1_1[[#This Row],[Quantity]]</f>
        <v>319</v>
      </c>
      <c r="O17" s="3" t="str">
        <f>IF(Table1_1[[#This Row],[Quantity]]&gt;=5,"HIGH","LOW")</f>
        <v>LOW</v>
      </c>
      <c r="P17" s="3" t="str">
        <f>IF(Table1_1[[#This Row],[City]]="CALICUT","MARKED CITY","OTHER CITY")</f>
        <v>OTHER CITY</v>
      </c>
    </row>
    <row r="18" spans="1:19" x14ac:dyDescent="0.25">
      <c r="A18">
        <v>1018</v>
      </c>
      <c r="B18" s="2">
        <v>46063</v>
      </c>
      <c r="C18" s="3" t="s">
        <v>57</v>
      </c>
      <c r="D18" s="3" t="s">
        <v>14</v>
      </c>
      <c r="E18" s="3" t="s">
        <v>15</v>
      </c>
      <c r="F18" s="3" t="s">
        <v>16</v>
      </c>
      <c r="G18" s="3" t="s">
        <v>46</v>
      </c>
      <c r="H18">
        <v>8</v>
      </c>
      <c r="I18">
        <v>4177</v>
      </c>
      <c r="J18">
        <v>0</v>
      </c>
      <c r="K18" s="3" t="s">
        <v>141</v>
      </c>
      <c r="L18" s="3" t="s">
        <v>142</v>
      </c>
      <c r="M18" s="3" t="s">
        <v>149</v>
      </c>
      <c r="N18" s="3">
        <f>Table1_1[[#This Row],[Unit Price]]*Table1_1[[#This Row],[Quantity]]</f>
        <v>33416</v>
      </c>
      <c r="O18" s="3" t="str">
        <f>IF(Table1_1[[#This Row],[Quantity]]&gt;=5,"HIGH","LOW")</f>
        <v>HIGH</v>
      </c>
      <c r="P18" s="3" t="str">
        <f>IF(Table1_1[[#This Row],[City]]="CALICUT","MARKED CITY","OTHER CITY")</f>
        <v>OTHER CITY</v>
      </c>
    </row>
    <row r="19" spans="1:19" x14ac:dyDescent="0.25">
      <c r="A19">
        <v>1019</v>
      </c>
      <c r="B19" s="2">
        <v>46099</v>
      </c>
      <c r="C19" s="3" t="s">
        <v>58</v>
      </c>
      <c r="D19" s="3" t="s">
        <v>143</v>
      </c>
      <c r="E19" s="3" t="s">
        <v>25</v>
      </c>
      <c r="F19" s="3" t="s">
        <v>26</v>
      </c>
      <c r="G19" s="3" t="s">
        <v>46</v>
      </c>
      <c r="H19">
        <v>4</v>
      </c>
      <c r="I19">
        <v>3996</v>
      </c>
      <c r="J19">
        <v>5</v>
      </c>
      <c r="K19" s="3" t="s">
        <v>144</v>
      </c>
      <c r="L19" s="3" t="s">
        <v>29</v>
      </c>
      <c r="M19" s="3" t="s">
        <v>149</v>
      </c>
      <c r="N19" s="3">
        <f>Table1_1[[#This Row],[Unit Price]]*Table1_1[[#This Row],[Quantity]]</f>
        <v>15984</v>
      </c>
      <c r="O19" s="3" t="str">
        <f>IF(Table1_1[[#This Row],[Quantity]]&gt;=5,"HIGH","LOW")</f>
        <v>LOW</v>
      </c>
      <c r="P19" s="3" t="str">
        <f>IF(Table1_1[[#This Row],[City]]="CALICUT","MARKED CITY","OTHER CITY")</f>
        <v>MARKED CITY</v>
      </c>
    </row>
    <row r="20" spans="1:19" x14ac:dyDescent="0.25">
      <c r="A20">
        <v>1020</v>
      </c>
      <c r="B20" s="2">
        <v>46126</v>
      </c>
      <c r="C20" s="3" t="s">
        <v>59</v>
      </c>
      <c r="D20" s="3" t="s">
        <v>14</v>
      </c>
      <c r="E20" s="3" t="s">
        <v>36</v>
      </c>
      <c r="F20" s="3" t="s">
        <v>54</v>
      </c>
      <c r="G20" s="3" t="s">
        <v>17</v>
      </c>
      <c r="H20">
        <v>5</v>
      </c>
      <c r="I20">
        <v>1889</v>
      </c>
      <c r="J20">
        <v>10</v>
      </c>
      <c r="K20" s="3" t="s">
        <v>141</v>
      </c>
      <c r="L20" s="3" t="s">
        <v>33</v>
      </c>
      <c r="M20" s="3" t="s">
        <v>150</v>
      </c>
      <c r="N20" s="3">
        <f>Table1_1[[#This Row],[Unit Price]]*Table1_1[[#This Row],[Quantity]]</f>
        <v>9445</v>
      </c>
      <c r="O20" s="3" t="str">
        <f>IF(Table1_1[[#This Row],[Quantity]]&gt;=5,"HIGH","LOW")</f>
        <v>HIGH</v>
      </c>
      <c r="P20" s="3" t="str">
        <f>IF(Table1_1[[#This Row],[City]]="CALICUT","MARKED CITY","OTHER CITY")</f>
        <v>OTHER CITY</v>
      </c>
    </row>
    <row r="21" spans="1:19" x14ac:dyDescent="0.25">
      <c r="A21">
        <v>1021</v>
      </c>
      <c r="B21" s="2">
        <v>46165</v>
      </c>
      <c r="C21" s="3" t="s">
        <v>60</v>
      </c>
      <c r="D21" s="3" t="s">
        <v>145</v>
      </c>
      <c r="E21" s="3" t="s">
        <v>15</v>
      </c>
      <c r="F21" s="3" t="s">
        <v>45</v>
      </c>
      <c r="G21" s="3" t="s">
        <v>27</v>
      </c>
      <c r="H21">
        <v>10</v>
      </c>
      <c r="I21">
        <v>1883</v>
      </c>
      <c r="J21">
        <v>0</v>
      </c>
      <c r="K21" s="3" t="s">
        <v>141</v>
      </c>
      <c r="L21" s="3" t="s">
        <v>33</v>
      </c>
      <c r="M21" s="3" t="s">
        <v>149</v>
      </c>
      <c r="N21" s="3">
        <f>Table1_1[[#This Row],[Unit Price]]*Table1_1[[#This Row],[Quantity]]</f>
        <v>18830</v>
      </c>
      <c r="O21" s="3" t="str">
        <f>IF(Table1_1[[#This Row],[Quantity]]&gt;=5,"HIGH","LOW")</f>
        <v>HIGH</v>
      </c>
      <c r="P21" s="3" t="str">
        <f>IF(Table1_1[[#This Row],[City]]="CALICUT","MARKED CITY","OTHER CITY")</f>
        <v>OTHER CITY</v>
      </c>
      <c r="R21" s="4" t="s">
        <v>166</v>
      </c>
      <c r="S21" t="s">
        <v>168</v>
      </c>
    </row>
    <row r="22" spans="1:19" x14ac:dyDescent="0.25">
      <c r="A22">
        <v>1022</v>
      </c>
      <c r="B22" s="2">
        <v>46081</v>
      </c>
      <c r="C22" s="3" t="s">
        <v>61</v>
      </c>
      <c r="D22" s="3" t="s">
        <v>14</v>
      </c>
      <c r="E22" s="3" t="s">
        <v>25</v>
      </c>
      <c r="F22" s="3" t="s">
        <v>26</v>
      </c>
      <c r="G22" s="3" t="s">
        <v>27</v>
      </c>
      <c r="H22">
        <v>3</v>
      </c>
      <c r="I22">
        <v>3962</v>
      </c>
      <c r="J22">
        <v>5</v>
      </c>
      <c r="K22" s="3" t="s">
        <v>141</v>
      </c>
      <c r="L22" s="3" t="s">
        <v>33</v>
      </c>
      <c r="M22" s="3" t="s">
        <v>149</v>
      </c>
      <c r="N22" s="3">
        <f>Table1_1[[#This Row],[Unit Price]]*Table1_1[[#This Row],[Quantity]]</f>
        <v>11886</v>
      </c>
      <c r="O22" s="3" t="str">
        <f>IF(Table1_1[[#This Row],[Quantity]]&gt;=5,"HIGH","LOW")</f>
        <v>LOW</v>
      </c>
      <c r="P22" s="3" t="str">
        <f>IF(Table1_1[[#This Row],[City]]="CALICUT","MARKED CITY","OTHER CITY")</f>
        <v>OTHER CITY</v>
      </c>
      <c r="R22" s="5" t="s">
        <v>26</v>
      </c>
      <c r="S22" s="3">
        <v>272811</v>
      </c>
    </row>
    <row r="23" spans="1:19" x14ac:dyDescent="0.25">
      <c r="A23">
        <v>1023</v>
      </c>
      <c r="B23" s="2">
        <v>46146</v>
      </c>
      <c r="C23" s="3" t="s">
        <v>62</v>
      </c>
      <c r="D23" s="3" t="s">
        <v>14</v>
      </c>
      <c r="E23" s="3" t="s">
        <v>15</v>
      </c>
      <c r="F23" s="3" t="s">
        <v>45</v>
      </c>
      <c r="G23" s="3" t="s">
        <v>27</v>
      </c>
      <c r="H23">
        <v>2</v>
      </c>
      <c r="I23">
        <v>1153</v>
      </c>
      <c r="J23">
        <v>0</v>
      </c>
      <c r="K23" s="3" t="s">
        <v>141</v>
      </c>
      <c r="L23" s="3" t="s">
        <v>142</v>
      </c>
      <c r="M23" s="3" t="s">
        <v>150</v>
      </c>
      <c r="N23" s="3">
        <f>Table1_1[[#This Row],[Unit Price]]*Table1_1[[#This Row],[Quantity]]</f>
        <v>2306</v>
      </c>
      <c r="O23" s="3" t="str">
        <f>IF(Table1_1[[#This Row],[Quantity]]&gt;=5,"HIGH","LOW")</f>
        <v>LOW</v>
      </c>
      <c r="P23" s="3" t="str">
        <f>IF(Table1_1[[#This Row],[City]]="CALICUT","MARKED CITY","OTHER CITY")</f>
        <v>OTHER CITY</v>
      </c>
      <c r="R23" s="5" t="s">
        <v>32</v>
      </c>
      <c r="S23" s="3">
        <v>217049</v>
      </c>
    </row>
    <row r="24" spans="1:19" x14ac:dyDescent="0.25">
      <c r="A24">
        <v>1024</v>
      </c>
      <c r="B24" s="2">
        <v>46075</v>
      </c>
      <c r="C24" s="3" t="s">
        <v>63</v>
      </c>
      <c r="D24" s="3" t="s">
        <v>143</v>
      </c>
      <c r="E24" s="3" t="s">
        <v>25</v>
      </c>
      <c r="F24" s="3" t="s">
        <v>26</v>
      </c>
      <c r="G24" s="3" t="s">
        <v>46</v>
      </c>
      <c r="H24">
        <v>6</v>
      </c>
      <c r="I24">
        <v>2809</v>
      </c>
      <c r="J24">
        <v>5</v>
      </c>
      <c r="K24" s="3" t="s">
        <v>144</v>
      </c>
      <c r="L24" s="3" t="s">
        <v>142</v>
      </c>
      <c r="M24" s="3" t="s">
        <v>148</v>
      </c>
      <c r="N24" s="3">
        <f>Table1_1[[#This Row],[Unit Price]]*Table1_1[[#This Row],[Quantity]]</f>
        <v>16854</v>
      </c>
      <c r="O24" s="3" t="str">
        <f>IF(Table1_1[[#This Row],[Quantity]]&gt;=5,"HIGH","LOW")</f>
        <v>HIGH</v>
      </c>
      <c r="P24" s="3" t="str">
        <f>IF(Table1_1[[#This Row],[City]]="CALICUT","MARKED CITY","OTHER CITY")</f>
        <v>MARKED CITY</v>
      </c>
      <c r="R24" s="5" t="s">
        <v>37</v>
      </c>
      <c r="S24" s="3">
        <v>99916</v>
      </c>
    </row>
    <row r="25" spans="1:19" x14ac:dyDescent="0.25">
      <c r="A25">
        <v>1025</v>
      </c>
      <c r="B25" s="2">
        <v>46129</v>
      </c>
      <c r="C25" s="3" t="s">
        <v>64</v>
      </c>
      <c r="D25" s="3" t="s">
        <v>143</v>
      </c>
      <c r="E25" s="3" t="s">
        <v>36</v>
      </c>
      <c r="F25" s="3" t="s">
        <v>37</v>
      </c>
      <c r="G25" s="3" t="s">
        <v>40</v>
      </c>
      <c r="H25">
        <v>4</v>
      </c>
      <c r="I25">
        <v>2307</v>
      </c>
      <c r="J25">
        <v>10</v>
      </c>
      <c r="K25" s="3" t="s">
        <v>141</v>
      </c>
      <c r="L25" s="3" t="s">
        <v>142</v>
      </c>
      <c r="M25" s="3" t="s">
        <v>149</v>
      </c>
      <c r="N25" s="3">
        <f>Table1_1[[#This Row],[Unit Price]]*Table1_1[[#This Row],[Quantity]]</f>
        <v>9228</v>
      </c>
      <c r="O25" s="3" t="str">
        <f>IF(Table1_1[[#This Row],[Quantity]]&gt;=5,"HIGH","LOW")</f>
        <v>LOW</v>
      </c>
      <c r="P25" s="3" t="str">
        <f>IF(Table1_1[[#This Row],[City]]="CALICUT","MARKED CITY","OTHER CITY")</f>
        <v>MARKED CITY</v>
      </c>
      <c r="R25" s="5" t="s">
        <v>54</v>
      </c>
      <c r="S25" s="3">
        <v>117749</v>
      </c>
    </row>
    <row r="26" spans="1:19" x14ac:dyDescent="0.25">
      <c r="A26">
        <v>1026</v>
      </c>
      <c r="B26" s="2">
        <v>46030</v>
      </c>
      <c r="C26" s="3" t="s">
        <v>65</v>
      </c>
      <c r="D26" s="3" t="s">
        <v>143</v>
      </c>
      <c r="E26" s="3" t="s">
        <v>25</v>
      </c>
      <c r="F26" s="3" t="s">
        <v>32</v>
      </c>
      <c r="G26" s="3" t="s">
        <v>17</v>
      </c>
      <c r="H26">
        <v>2</v>
      </c>
      <c r="I26">
        <v>1874</v>
      </c>
      <c r="J26">
        <v>0</v>
      </c>
      <c r="K26" s="3" t="s">
        <v>141</v>
      </c>
      <c r="L26" s="3" t="s">
        <v>29</v>
      </c>
      <c r="M26" s="3" t="s">
        <v>152</v>
      </c>
      <c r="N26" s="3">
        <f>Table1_1[[#This Row],[Unit Price]]*Table1_1[[#This Row],[Quantity]]</f>
        <v>3748</v>
      </c>
      <c r="O26" s="3" t="str">
        <f>IF(Table1_1[[#This Row],[Quantity]]&gt;=5,"HIGH","LOW")</f>
        <v>LOW</v>
      </c>
      <c r="P26" s="3" t="str">
        <f>IF(Table1_1[[#This Row],[City]]="CALICUT","MARKED CITY","OTHER CITY")</f>
        <v>MARKED CITY</v>
      </c>
      <c r="R26" s="5" t="s">
        <v>39</v>
      </c>
      <c r="S26" s="3">
        <v>98545</v>
      </c>
    </row>
    <row r="27" spans="1:19" x14ac:dyDescent="0.25">
      <c r="A27">
        <v>1027</v>
      </c>
      <c r="B27" s="2">
        <v>46075</v>
      </c>
      <c r="C27" s="3" t="s">
        <v>66</v>
      </c>
      <c r="D27" s="3" t="s">
        <v>146</v>
      </c>
      <c r="E27" s="3" t="s">
        <v>15</v>
      </c>
      <c r="F27" s="3" t="s">
        <v>16</v>
      </c>
      <c r="G27" s="3" t="s">
        <v>17</v>
      </c>
      <c r="H27">
        <v>9</v>
      </c>
      <c r="I27">
        <v>2591</v>
      </c>
      <c r="J27">
        <v>10</v>
      </c>
      <c r="K27" s="3" t="s">
        <v>141</v>
      </c>
      <c r="L27" s="3" t="s">
        <v>33</v>
      </c>
      <c r="M27" s="3" t="s">
        <v>150</v>
      </c>
      <c r="N27" s="3">
        <f>Table1_1[[#This Row],[Unit Price]]*Table1_1[[#This Row],[Quantity]]</f>
        <v>23319</v>
      </c>
      <c r="O27" s="3" t="str">
        <f>IF(Table1_1[[#This Row],[Quantity]]&gt;=5,"HIGH","LOW")</f>
        <v>HIGH</v>
      </c>
      <c r="P27" s="3" t="str">
        <f>IF(Table1_1[[#This Row],[City]]="CALICUT","MARKED CITY","OTHER CITY")</f>
        <v>OTHER CITY</v>
      </c>
      <c r="R27" s="5" t="s">
        <v>16</v>
      </c>
      <c r="S27" s="3">
        <v>286103</v>
      </c>
    </row>
    <row r="28" spans="1:19" x14ac:dyDescent="0.25">
      <c r="A28">
        <v>1028</v>
      </c>
      <c r="B28" s="2">
        <v>46153</v>
      </c>
      <c r="C28" s="3" t="s">
        <v>67</v>
      </c>
      <c r="D28" s="3" t="s">
        <v>147</v>
      </c>
      <c r="E28" s="3" t="s">
        <v>36</v>
      </c>
      <c r="F28" s="3" t="s">
        <v>54</v>
      </c>
      <c r="G28" s="3" t="s">
        <v>40</v>
      </c>
      <c r="H28">
        <v>10</v>
      </c>
      <c r="I28">
        <v>2973</v>
      </c>
      <c r="J28">
        <v>5</v>
      </c>
      <c r="K28" s="3" t="s">
        <v>141</v>
      </c>
      <c r="L28" s="3" t="s">
        <v>29</v>
      </c>
      <c r="M28" s="3" t="s">
        <v>150</v>
      </c>
      <c r="N28" s="3">
        <f>Table1_1[[#This Row],[Unit Price]]*Table1_1[[#This Row],[Quantity]]</f>
        <v>29730</v>
      </c>
      <c r="O28" s="3" t="str">
        <f>IF(Table1_1[[#This Row],[Quantity]]&gt;=5,"HIGH","LOW")</f>
        <v>HIGH</v>
      </c>
      <c r="P28" s="3" t="str">
        <f>IF(Table1_1[[#This Row],[City]]="CALICUT","MARKED CITY","OTHER CITY")</f>
        <v>OTHER CITY</v>
      </c>
      <c r="R28" s="5" t="s">
        <v>45</v>
      </c>
      <c r="S28" s="3">
        <v>223421</v>
      </c>
    </row>
    <row r="29" spans="1:19" x14ac:dyDescent="0.25">
      <c r="A29">
        <v>1029</v>
      </c>
      <c r="B29" s="2">
        <v>46122</v>
      </c>
      <c r="C29" s="3" t="s">
        <v>68</v>
      </c>
      <c r="D29" s="3" t="s">
        <v>143</v>
      </c>
      <c r="E29" s="3" t="s">
        <v>15</v>
      </c>
      <c r="F29" s="3" t="s">
        <v>16</v>
      </c>
      <c r="G29" s="3" t="s">
        <v>40</v>
      </c>
      <c r="H29">
        <v>1</v>
      </c>
      <c r="I29">
        <v>1713</v>
      </c>
      <c r="J29">
        <v>0</v>
      </c>
      <c r="K29" s="3" t="s">
        <v>144</v>
      </c>
      <c r="L29" s="3" t="s">
        <v>29</v>
      </c>
      <c r="M29" s="3" t="s">
        <v>148</v>
      </c>
      <c r="N29" s="3">
        <f>Table1_1[[#This Row],[Unit Price]]*Table1_1[[#This Row],[Quantity]]</f>
        <v>1713</v>
      </c>
      <c r="O29" s="3" t="str">
        <f>IF(Table1_1[[#This Row],[Quantity]]&gt;=5,"HIGH","LOW")</f>
        <v>LOW</v>
      </c>
      <c r="P29" s="3" t="str">
        <f>IF(Table1_1[[#This Row],[City]]="CALICUT","MARKED CITY","OTHER CITY")</f>
        <v>MARKED CITY</v>
      </c>
      <c r="R29" s="5" t="s">
        <v>167</v>
      </c>
      <c r="S29" s="3">
        <v>1315594</v>
      </c>
    </row>
    <row r="30" spans="1:19" x14ac:dyDescent="0.25">
      <c r="A30">
        <v>1030</v>
      </c>
      <c r="B30" s="2">
        <v>46163</v>
      </c>
      <c r="C30" s="3" t="s">
        <v>69</v>
      </c>
      <c r="D30" s="3" t="s">
        <v>143</v>
      </c>
      <c r="E30" s="3" t="s">
        <v>25</v>
      </c>
      <c r="F30" s="3" t="s">
        <v>32</v>
      </c>
      <c r="G30" s="3" t="s">
        <v>46</v>
      </c>
      <c r="H30">
        <v>2</v>
      </c>
      <c r="I30">
        <v>4916</v>
      </c>
      <c r="J30">
        <v>5</v>
      </c>
      <c r="K30" s="3" t="s">
        <v>144</v>
      </c>
      <c r="L30" s="3" t="s">
        <v>142</v>
      </c>
      <c r="M30" s="3" t="s">
        <v>150</v>
      </c>
      <c r="N30" s="3">
        <f>Table1_1[[#This Row],[Unit Price]]*Table1_1[[#This Row],[Quantity]]</f>
        <v>9832</v>
      </c>
      <c r="O30" s="3" t="str">
        <f>IF(Table1_1[[#This Row],[Quantity]]&gt;=5,"HIGH","LOW")</f>
        <v>LOW</v>
      </c>
      <c r="P30" s="3" t="str">
        <f>IF(Table1_1[[#This Row],[City]]="CALICUT","MARKED CITY","OTHER CITY")</f>
        <v>MARKED CITY</v>
      </c>
    </row>
    <row r="31" spans="1:19" x14ac:dyDescent="0.25">
      <c r="A31">
        <v>1031</v>
      </c>
      <c r="B31" s="2">
        <v>46061</v>
      </c>
      <c r="C31" s="3" t="s">
        <v>70</v>
      </c>
      <c r="D31" s="3" t="s">
        <v>145</v>
      </c>
      <c r="E31" s="3" t="s">
        <v>25</v>
      </c>
      <c r="F31" s="3" t="s">
        <v>32</v>
      </c>
      <c r="G31" s="3" t="s">
        <v>46</v>
      </c>
      <c r="H31">
        <v>7</v>
      </c>
      <c r="I31">
        <v>2683</v>
      </c>
      <c r="J31">
        <v>10</v>
      </c>
      <c r="K31" s="3" t="s">
        <v>141</v>
      </c>
      <c r="L31" s="3" t="s">
        <v>142</v>
      </c>
      <c r="M31" s="3" t="s">
        <v>152</v>
      </c>
      <c r="N31" s="3">
        <f>Table1_1[[#This Row],[Unit Price]]*Table1_1[[#This Row],[Quantity]]</f>
        <v>18781</v>
      </c>
      <c r="O31" s="3" t="str">
        <f>IF(Table1_1[[#This Row],[Quantity]]&gt;=5,"HIGH","LOW")</f>
        <v>HIGH</v>
      </c>
      <c r="P31" s="3" t="str">
        <f>IF(Table1_1[[#This Row],[City]]="CALICUT","MARKED CITY","OTHER CITY")</f>
        <v>OTHER CITY</v>
      </c>
    </row>
    <row r="32" spans="1:19" x14ac:dyDescent="0.25">
      <c r="A32">
        <v>1032</v>
      </c>
      <c r="B32" s="2">
        <v>46122</v>
      </c>
      <c r="C32" s="3" t="s">
        <v>71</v>
      </c>
      <c r="D32" s="3" t="s">
        <v>146</v>
      </c>
      <c r="E32" s="3" t="s">
        <v>15</v>
      </c>
      <c r="F32" s="3" t="s">
        <v>45</v>
      </c>
      <c r="G32" s="3" t="s">
        <v>40</v>
      </c>
      <c r="H32">
        <v>10</v>
      </c>
      <c r="I32">
        <v>4144</v>
      </c>
      <c r="J32">
        <v>15</v>
      </c>
      <c r="K32" s="3" t="s">
        <v>141</v>
      </c>
      <c r="L32" s="3" t="s">
        <v>33</v>
      </c>
      <c r="M32" s="3" t="s">
        <v>149</v>
      </c>
      <c r="N32" s="3">
        <f>Table1_1[[#This Row],[Unit Price]]*Table1_1[[#This Row],[Quantity]]</f>
        <v>41440</v>
      </c>
      <c r="O32" s="3" t="str">
        <f>IF(Table1_1[[#This Row],[Quantity]]&gt;=5,"HIGH","LOW")</f>
        <v>HIGH</v>
      </c>
      <c r="P32" s="3" t="str">
        <f>IF(Table1_1[[#This Row],[City]]="CALICUT","MARKED CITY","OTHER CITY")</f>
        <v>OTHER CITY</v>
      </c>
      <c r="R32" s="4" t="s">
        <v>166</v>
      </c>
      <c r="S32" t="s">
        <v>168</v>
      </c>
    </row>
    <row r="33" spans="1:19" x14ac:dyDescent="0.25">
      <c r="A33">
        <v>1033</v>
      </c>
      <c r="B33" s="2">
        <v>46133</v>
      </c>
      <c r="C33" s="3" t="s">
        <v>72</v>
      </c>
      <c r="D33" s="3" t="s">
        <v>146</v>
      </c>
      <c r="E33" s="3" t="s">
        <v>36</v>
      </c>
      <c r="F33" s="3" t="s">
        <v>39</v>
      </c>
      <c r="G33" s="3" t="s">
        <v>27</v>
      </c>
      <c r="H33">
        <v>7</v>
      </c>
      <c r="I33">
        <v>4072</v>
      </c>
      <c r="J33">
        <v>15</v>
      </c>
      <c r="K33" s="3" t="s">
        <v>141</v>
      </c>
      <c r="L33" s="3" t="s">
        <v>142</v>
      </c>
      <c r="M33" s="3" t="s">
        <v>152</v>
      </c>
      <c r="N33" s="3">
        <f>Table1_1[[#This Row],[Unit Price]]*Table1_1[[#This Row],[Quantity]]</f>
        <v>28504</v>
      </c>
      <c r="O33" s="3" t="str">
        <f>IF(Table1_1[[#This Row],[Quantity]]&gt;=5,"HIGH","LOW")</f>
        <v>HIGH</v>
      </c>
      <c r="P33" s="3" t="str">
        <f>IF(Table1_1[[#This Row],[City]]="CALICUT","MARKED CITY","OTHER CITY")</f>
        <v>OTHER CITY</v>
      </c>
      <c r="R33" s="5" t="s">
        <v>143</v>
      </c>
      <c r="S33" s="3">
        <v>312195</v>
      </c>
    </row>
    <row r="34" spans="1:19" x14ac:dyDescent="0.25">
      <c r="A34">
        <v>1034</v>
      </c>
      <c r="B34" s="2">
        <v>46057</v>
      </c>
      <c r="C34" s="3" t="s">
        <v>73</v>
      </c>
      <c r="D34" s="3" t="s">
        <v>143</v>
      </c>
      <c r="E34" s="3" t="s">
        <v>25</v>
      </c>
      <c r="F34" s="3" t="s">
        <v>32</v>
      </c>
      <c r="G34" s="3" t="s">
        <v>46</v>
      </c>
      <c r="H34">
        <v>9</v>
      </c>
      <c r="I34">
        <v>2346</v>
      </c>
      <c r="J34">
        <v>15</v>
      </c>
      <c r="K34" s="3" t="s">
        <v>144</v>
      </c>
      <c r="L34" s="3" t="s">
        <v>29</v>
      </c>
      <c r="M34" s="3" t="s">
        <v>148</v>
      </c>
      <c r="N34" s="3">
        <f>Table1_1[[#This Row],[Unit Price]]*Table1_1[[#This Row],[Quantity]]</f>
        <v>21114</v>
      </c>
      <c r="O34" s="3" t="str">
        <f>IF(Table1_1[[#This Row],[Quantity]]&gt;=5,"HIGH","LOW")</f>
        <v>HIGH</v>
      </c>
      <c r="P34" s="3" t="str">
        <f>IF(Table1_1[[#This Row],[City]]="CALICUT","MARKED CITY","OTHER CITY")</f>
        <v>MARKED CITY</v>
      </c>
      <c r="R34" s="5" t="s">
        <v>14</v>
      </c>
      <c r="S34" s="3">
        <v>288188</v>
      </c>
    </row>
    <row r="35" spans="1:19" x14ac:dyDescent="0.25">
      <c r="A35">
        <v>1035</v>
      </c>
      <c r="B35" s="2">
        <v>46045</v>
      </c>
      <c r="C35" s="3" t="s">
        <v>74</v>
      </c>
      <c r="D35" s="3" t="s">
        <v>146</v>
      </c>
      <c r="E35" s="3" t="s">
        <v>15</v>
      </c>
      <c r="F35" s="3" t="s">
        <v>45</v>
      </c>
      <c r="G35" s="3" t="s">
        <v>46</v>
      </c>
      <c r="H35">
        <v>2</v>
      </c>
      <c r="I35">
        <v>546</v>
      </c>
      <c r="J35">
        <v>5</v>
      </c>
      <c r="K35" s="3" t="s">
        <v>141</v>
      </c>
      <c r="L35" s="3" t="s">
        <v>29</v>
      </c>
      <c r="M35" s="3" t="s">
        <v>148</v>
      </c>
      <c r="N35" s="3">
        <f>Table1_1[[#This Row],[Unit Price]]*Table1_1[[#This Row],[Quantity]]</f>
        <v>1092</v>
      </c>
      <c r="O35" s="3" t="str">
        <f>IF(Table1_1[[#This Row],[Quantity]]&gt;=5,"HIGH","LOW")</f>
        <v>LOW</v>
      </c>
      <c r="P35" s="3" t="str">
        <f>IF(Table1_1[[#This Row],[City]]="CALICUT","MARKED CITY","OTHER CITY")</f>
        <v>OTHER CITY</v>
      </c>
      <c r="R35" s="5" t="s">
        <v>147</v>
      </c>
      <c r="S35" s="3">
        <v>293026</v>
      </c>
    </row>
    <row r="36" spans="1:19" x14ac:dyDescent="0.25">
      <c r="A36">
        <v>1036</v>
      </c>
      <c r="B36" s="2">
        <v>46113</v>
      </c>
      <c r="C36" s="3" t="s">
        <v>75</v>
      </c>
      <c r="D36" s="3" t="s">
        <v>145</v>
      </c>
      <c r="E36" s="3" t="s">
        <v>36</v>
      </c>
      <c r="F36" s="3" t="s">
        <v>54</v>
      </c>
      <c r="G36" s="3" t="s">
        <v>40</v>
      </c>
      <c r="H36">
        <v>10</v>
      </c>
      <c r="I36">
        <v>705</v>
      </c>
      <c r="J36">
        <v>0</v>
      </c>
      <c r="K36" s="3" t="s">
        <v>144</v>
      </c>
      <c r="L36" s="3" t="s">
        <v>29</v>
      </c>
      <c r="M36" s="3" t="s">
        <v>149</v>
      </c>
      <c r="N36" s="3">
        <f>Table1_1[[#This Row],[Unit Price]]*Table1_1[[#This Row],[Quantity]]</f>
        <v>7050</v>
      </c>
      <c r="O36" s="3" t="str">
        <f>IF(Table1_1[[#This Row],[Quantity]]&gt;=5,"HIGH","LOW")</f>
        <v>HIGH</v>
      </c>
      <c r="P36" s="3" t="str">
        <f>IF(Table1_1[[#This Row],[City]]="CALICUT","MARKED CITY","OTHER CITY")</f>
        <v>OTHER CITY</v>
      </c>
      <c r="R36" s="5" t="s">
        <v>145</v>
      </c>
      <c r="S36" s="3">
        <v>205368</v>
      </c>
    </row>
    <row r="37" spans="1:19" x14ac:dyDescent="0.25">
      <c r="A37">
        <v>1037</v>
      </c>
      <c r="B37" s="2">
        <v>46141</v>
      </c>
      <c r="C37" s="3" t="s">
        <v>76</v>
      </c>
      <c r="D37" s="3" t="s">
        <v>145</v>
      </c>
      <c r="E37" s="3" t="s">
        <v>15</v>
      </c>
      <c r="F37" s="3" t="s">
        <v>16</v>
      </c>
      <c r="G37" s="3" t="s">
        <v>17</v>
      </c>
      <c r="H37">
        <v>4</v>
      </c>
      <c r="I37">
        <v>2514</v>
      </c>
      <c r="J37">
        <v>0</v>
      </c>
      <c r="K37" s="3" t="s">
        <v>144</v>
      </c>
      <c r="L37" s="3" t="s">
        <v>142</v>
      </c>
      <c r="M37" s="3" t="s">
        <v>150</v>
      </c>
      <c r="N37" s="3">
        <f>Table1_1[[#This Row],[Unit Price]]*Table1_1[[#This Row],[Quantity]]</f>
        <v>10056</v>
      </c>
      <c r="O37" s="3" t="str">
        <f>IF(Table1_1[[#This Row],[Quantity]]&gt;=5,"HIGH","LOW")</f>
        <v>LOW</v>
      </c>
      <c r="P37" s="3" t="str">
        <f>IF(Table1_1[[#This Row],[City]]="CALICUT","MARKED CITY","OTHER CITY")</f>
        <v>OTHER CITY</v>
      </c>
      <c r="R37" s="5" t="s">
        <v>146</v>
      </c>
      <c r="S37" s="3">
        <v>216817</v>
      </c>
    </row>
    <row r="38" spans="1:19" x14ac:dyDescent="0.25">
      <c r="A38">
        <v>1038</v>
      </c>
      <c r="B38" s="2">
        <v>46182</v>
      </c>
      <c r="C38" s="3" t="s">
        <v>77</v>
      </c>
      <c r="D38" s="3" t="s">
        <v>147</v>
      </c>
      <c r="E38" s="3" t="s">
        <v>36</v>
      </c>
      <c r="F38" s="3" t="s">
        <v>54</v>
      </c>
      <c r="G38" s="3" t="s">
        <v>27</v>
      </c>
      <c r="H38">
        <v>6</v>
      </c>
      <c r="I38">
        <v>1188</v>
      </c>
      <c r="J38">
        <v>0</v>
      </c>
      <c r="K38" s="3" t="s">
        <v>144</v>
      </c>
      <c r="L38" s="3" t="s">
        <v>33</v>
      </c>
      <c r="M38" s="3" t="s">
        <v>149</v>
      </c>
      <c r="N38" s="3">
        <f>Table1_1[[#This Row],[Unit Price]]*Table1_1[[#This Row],[Quantity]]</f>
        <v>7128</v>
      </c>
      <c r="O38" s="3" t="str">
        <f>IF(Table1_1[[#This Row],[Quantity]]&gt;=5,"HIGH","LOW")</f>
        <v>HIGH</v>
      </c>
      <c r="P38" s="3" t="str">
        <f>IF(Table1_1[[#This Row],[City]]="CALICUT","MARKED CITY","OTHER CITY")</f>
        <v>OTHER CITY</v>
      </c>
      <c r="R38" s="5" t="s">
        <v>167</v>
      </c>
      <c r="S38" s="3">
        <v>1315594</v>
      </c>
    </row>
    <row r="39" spans="1:19" x14ac:dyDescent="0.25">
      <c r="A39">
        <v>1039</v>
      </c>
      <c r="B39" s="2">
        <v>46087</v>
      </c>
      <c r="C39" s="3" t="s">
        <v>78</v>
      </c>
      <c r="D39" s="3" t="s">
        <v>147</v>
      </c>
      <c r="E39" s="3" t="s">
        <v>15</v>
      </c>
      <c r="F39" s="3" t="s">
        <v>45</v>
      </c>
      <c r="G39" s="3" t="s">
        <v>40</v>
      </c>
      <c r="H39">
        <v>6</v>
      </c>
      <c r="I39">
        <v>4718</v>
      </c>
      <c r="J39">
        <v>5</v>
      </c>
      <c r="K39" s="3" t="s">
        <v>144</v>
      </c>
      <c r="L39" s="3" t="s">
        <v>33</v>
      </c>
      <c r="M39" s="3" t="s">
        <v>149</v>
      </c>
      <c r="N39" s="3">
        <f>Table1_1[[#This Row],[Unit Price]]*Table1_1[[#This Row],[Quantity]]</f>
        <v>28308</v>
      </c>
      <c r="O39" s="3" t="str">
        <f>IF(Table1_1[[#This Row],[Quantity]]&gt;=5,"HIGH","LOW")</f>
        <v>HIGH</v>
      </c>
      <c r="P39" s="3" t="str">
        <f>IF(Table1_1[[#This Row],[City]]="CALICUT","MARKED CITY","OTHER CITY")</f>
        <v>OTHER CITY</v>
      </c>
    </row>
    <row r="40" spans="1:19" x14ac:dyDescent="0.25">
      <c r="A40">
        <v>1040</v>
      </c>
      <c r="B40" s="2">
        <v>46181</v>
      </c>
      <c r="C40" s="3" t="s">
        <v>79</v>
      </c>
      <c r="D40" s="3" t="s">
        <v>145</v>
      </c>
      <c r="E40" s="3" t="s">
        <v>36</v>
      </c>
      <c r="F40" s="3" t="s">
        <v>37</v>
      </c>
      <c r="G40" s="3" t="s">
        <v>40</v>
      </c>
      <c r="H40">
        <v>8</v>
      </c>
      <c r="I40">
        <v>565</v>
      </c>
      <c r="J40">
        <v>15</v>
      </c>
      <c r="K40" s="3" t="s">
        <v>144</v>
      </c>
      <c r="L40" s="3" t="s">
        <v>33</v>
      </c>
      <c r="M40" s="3" t="s">
        <v>149</v>
      </c>
      <c r="N40" s="3">
        <f>Table1_1[[#This Row],[Unit Price]]*Table1_1[[#This Row],[Quantity]]</f>
        <v>4520</v>
      </c>
      <c r="O40" s="3" t="str">
        <f>IF(Table1_1[[#This Row],[Quantity]]&gt;=5,"HIGH","LOW")</f>
        <v>HIGH</v>
      </c>
      <c r="P40" s="3" t="str">
        <f>IF(Table1_1[[#This Row],[City]]="CALICUT","MARKED CITY","OTHER CITY")</f>
        <v>OTHER CITY</v>
      </c>
      <c r="R40" s="4" t="s">
        <v>166</v>
      </c>
      <c r="S40" t="s">
        <v>169</v>
      </c>
    </row>
    <row r="41" spans="1:19" x14ac:dyDescent="0.25">
      <c r="A41">
        <v>1041</v>
      </c>
      <c r="B41" s="2">
        <v>46063</v>
      </c>
      <c r="C41" s="3" t="s">
        <v>80</v>
      </c>
      <c r="D41" s="3" t="s">
        <v>145</v>
      </c>
      <c r="E41" s="3" t="s">
        <v>36</v>
      </c>
      <c r="F41" s="3" t="s">
        <v>37</v>
      </c>
      <c r="G41" s="3" t="s">
        <v>17</v>
      </c>
      <c r="H41">
        <v>3</v>
      </c>
      <c r="I41">
        <v>4102</v>
      </c>
      <c r="J41">
        <v>5</v>
      </c>
      <c r="K41" s="3" t="s">
        <v>144</v>
      </c>
      <c r="L41" s="3" t="s">
        <v>142</v>
      </c>
      <c r="M41" s="3" t="s">
        <v>148</v>
      </c>
      <c r="N41" s="3">
        <f>Table1_1[[#This Row],[Unit Price]]*Table1_1[[#This Row],[Quantity]]</f>
        <v>12306</v>
      </c>
      <c r="O41" s="3" t="str">
        <f>IF(Table1_1[[#This Row],[Quantity]]&gt;=5,"HIGH","LOW")</f>
        <v>LOW</v>
      </c>
      <c r="P41" s="3" t="str">
        <f>IF(Table1_1[[#This Row],[City]]="CALICUT","MARKED CITY","OTHER CITY")</f>
        <v>OTHER CITY</v>
      </c>
      <c r="R41" s="5" t="s">
        <v>17</v>
      </c>
      <c r="S41" s="3">
        <v>10529.379310344828</v>
      </c>
    </row>
    <row r="42" spans="1:19" x14ac:dyDescent="0.25">
      <c r="A42">
        <v>1042</v>
      </c>
      <c r="B42" s="2">
        <v>46052</v>
      </c>
      <c r="C42" s="3" t="s">
        <v>81</v>
      </c>
      <c r="D42" s="3" t="s">
        <v>143</v>
      </c>
      <c r="E42" s="3" t="s">
        <v>15</v>
      </c>
      <c r="F42" s="3" t="s">
        <v>45</v>
      </c>
      <c r="G42" s="3" t="s">
        <v>17</v>
      </c>
      <c r="H42">
        <v>4</v>
      </c>
      <c r="I42">
        <v>713</v>
      </c>
      <c r="J42">
        <v>15</v>
      </c>
      <c r="K42" s="3" t="s">
        <v>141</v>
      </c>
      <c r="L42" s="3" t="s">
        <v>142</v>
      </c>
      <c r="M42" s="3" t="s">
        <v>150</v>
      </c>
      <c r="N42" s="3">
        <f>Table1_1[[#This Row],[Unit Price]]*Table1_1[[#This Row],[Quantity]]</f>
        <v>2852</v>
      </c>
      <c r="O42" s="3" t="str">
        <f>IF(Table1_1[[#This Row],[Quantity]]&gt;=5,"HIGH","LOW")</f>
        <v>LOW</v>
      </c>
      <c r="P42" s="3" t="str">
        <f>IF(Table1_1[[#This Row],[City]]="CALICUT","MARKED CITY","OTHER CITY")</f>
        <v>MARKED CITY</v>
      </c>
      <c r="R42" s="5" t="s">
        <v>40</v>
      </c>
      <c r="S42" s="3">
        <v>13300.045454545454</v>
      </c>
    </row>
    <row r="43" spans="1:19" x14ac:dyDescent="0.25">
      <c r="A43">
        <v>1043</v>
      </c>
      <c r="B43" s="2">
        <v>46156</v>
      </c>
      <c r="C43" s="3" t="s">
        <v>82</v>
      </c>
      <c r="D43" s="3" t="s">
        <v>14</v>
      </c>
      <c r="E43" s="3" t="s">
        <v>15</v>
      </c>
      <c r="F43" s="3" t="s">
        <v>45</v>
      </c>
      <c r="G43" s="3" t="s">
        <v>27</v>
      </c>
      <c r="H43">
        <v>5</v>
      </c>
      <c r="I43">
        <v>2283</v>
      </c>
      <c r="J43">
        <v>15</v>
      </c>
      <c r="K43" s="3" t="s">
        <v>144</v>
      </c>
      <c r="L43" s="3" t="s">
        <v>29</v>
      </c>
      <c r="M43" s="3" t="s">
        <v>149</v>
      </c>
      <c r="N43" s="3">
        <f>Table1_1[[#This Row],[Unit Price]]*Table1_1[[#This Row],[Quantity]]</f>
        <v>11415</v>
      </c>
      <c r="O43" s="3" t="str">
        <f>IF(Table1_1[[#This Row],[Quantity]]&gt;=5,"HIGH","LOW")</f>
        <v>HIGH</v>
      </c>
      <c r="P43" s="3" t="str">
        <f>IF(Table1_1[[#This Row],[City]]="CALICUT","MARKED CITY","OTHER CITY")</f>
        <v>OTHER CITY</v>
      </c>
      <c r="R43" s="5" t="s">
        <v>27</v>
      </c>
      <c r="S43" s="3">
        <v>11433.117647058823</v>
      </c>
    </row>
    <row r="44" spans="1:19" x14ac:dyDescent="0.25">
      <c r="A44">
        <v>1044</v>
      </c>
      <c r="B44" s="2">
        <v>46078</v>
      </c>
      <c r="C44" s="3" t="s">
        <v>83</v>
      </c>
      <c r="D44" s="3" t="s">
        <v>14</v>
      </c>
      <c r="E44" s="3" t="s">
        <v>36</v>
      </c>
      <c r="F44" s="3" t="s">
        <v>39</v>
      </c>
      <c r="G44" s="3" t="s">
        <v>46</v>
      </c>
      <c r="H44">
        <v>8</v>
      </c>
      <c r="I44">
        <v>1957</v>
      </c>
      <c r="J44">
        <v>10</v>
      </c>
      <c r="K44" s="3" t="s">
        <v>144</v>
      </c>
      <c r="L44" s="3" t="s">
        <v>142</v>
      </c>
      <c r="M44" s="3" t="s">
        <v>148</v>
      </c>
      <c r="N44" s="3">
        <f>Table1_1[[#This Row],[Unit Price]]*Table1_1[[#This Row],[Quantity]]</f>
        <v>15656</v>
      </c>
      <c r="O44" s="3" t="str">
        <f>IF(Table1_1[[#This Row],[Quantity]]&gt;=5,"HIGH","LOW")</f>
        <v>HIGH</v>
      </c>
      <c r="P44" s="3" t="str">
        <f>IF(Table1_1[[#This Row],[City]]="CALICUT","MARKED CITY","OTHER CITY")</f>
        <v>OTHER CITY</v>
      </c>
      <c r="R44" s="5" t="s">
        <v>46</v>
      </c>
      <c r="S44" s="3">
        <v>16352.4375</v>
      </c>
    </row>
    <row r="45" spans="1:19" x14ac:dyDescent="0.25">
      <c r="A45">
        <v>1045</v>
      </c>
      <c r="B45" s="2">
        <v>46046</v>
      </c>
      <c r="C45" s="3" t="s">
        <v>84</v>
      </c>
      <c r="D45" s="3" t="s">
        <v>147</v>
      </c>
      <c r="E45" s="3" t="s">
        <v>25</v>
      </c>
      <c r="F45" s="3" t="s">
        <v>26</v>
      </c>
      <c r="G45" s="3" t="s">
        <v>46</v>
      </c>
      <c r="H45">
        <v>10</v>
      </c>
      <c r="I45">
        <v>2544</v>
      </c>
      <c r="J45">
        <v>5</v>
      </c>
      <c r="K45" s="3" t="s">
        <v>144</v>
      </c>
      <c r="L45" s="3" t="s">
        <v>142</v>
      </c>
      <c r="M45" s="3" t="s">
        <v>152</v>
      </c>
      <c r="N45" s="3">
        <f>Table1_1[[#This Row],[Unit Price]]*Table1_1[[#This Row],[Quantity]]</f>
        <v>25440</v>
      </c>
      <c r="O45" s="3" t="str">
        <f>IF(Table1_1[[#This Row],[Quantity]]&gt;=5,"HIGH","LOW")</f>
        <v>HIGH</v>
      </c>
      <c r="P45" s="3" t="str">
        <f>IF(Table1_1[[#This Row],[City]]="CALICUT","MARKED CITY","OTHER CITY")</f>
        <v>OTHER CITY</v>
      </c>
      <c r="R45" s="5" t="s">
        <v>167</v>
      </c>
      <c r="S45" s="3">
        <v>13155.94</v>
      </c>
    </row>
    <row r="46" spans="1:19" x14ac:dyDescent="0.25">
      <c r="A46">
        <v>1046</v>
      </c>
      <c r="B46" s="2">
        <v>46180</v>
      </c>
      <c r="C46" s="3" t="s">
        <v>85</v>
      </c>
      <c r="D46" s="3" t="s">
        <v>145</v>
      </c>
      <c r="E46" s="3" t="s">
        <v>25</v>
      </c>
      <c r="F46" s="3" t="s">
        <v>26</v>
      </c>
      <c r="G46" s="3" t="s">
        <v>40</v>
      </c>
      <c r="H46">
        <v>1</v>
      </c>
      <c r="I46">
        <v>353</v>
      </c>
      <c r="J46">
        <v>15</v>
      </c>
      <c r="K46" s="3" t="s">
        <v>144</v>
      </c>
      <c r="L46" s="3" t="s">
        <v>29</v>
      </c>
      <c r="M46" s="3" t="s">
        <v>149</v>
      </c>
      <c r="N46" s="3">
        <f>Table1_1[[#This Row],[Unit Price]]*Table1_1[[#This Row],[Quantity]]</f>
        <v>353</v>
      </c>
      <c r="O46" s="3" t="str">
        <f>IF(Table1_1[[#This Row],[Quantity]]&gt;=5,"HIGH","LOW")</f>
        <v>LOW</v>
      </c>
      <c r="P46" s="3" t="str">
        <f>IF(Table1_1[[#This Row],[City]]="CALICUT","MARKED CITY","OTHER CITY")</f>
        <v>OTHER CITY</v>
      </c>
    </row>
    <row r="47" spans="1:19" x14ac:dyDescent="0.25">
      <c r="A47">
        <v>1047</v>
      </c>
      <c r="B47" s="2">
        <v>46162</v>
      </c>
      <c r="C47" s="3" t="s">
        <v>86</v>
      </c>
      <c r="D47" s="3" t="s">
        <v>146</v>
      </c>
      <c r="E47" s="3" t="s">
        <v>25</v>
      </c>
      <c r="F47" s="3" t="s">
        <v>32</v>
      </c>
      <c r="G47" s="3" t="s">
        <v>46</v>
      </c>
      <c r="H47">
        <v>9</v>
      </c>
      <c r="I47">
        <v>4928</v>
      </c>
      <c r="J47">
        <v>0</v>
      </c>
      <c r="K47" s="3" t="s">
        <v>141</v>
      </c>
      <c r="L47" s="3" t="s">
        <v>142</v>
      </c>
      <c r="M47" s="3" t="s">
        <v>149</v>
      </c>
      <c r="N47" s="3">
        <f>Table1_1[[#This Row],[Unit Price]]*Table1_1[[#This Row],[Quantity]]</f>
        <v>44352</v>
      </c>
      <c r="O47" s="3" t="str">
        <f>IF(Table1_1[[#This Row],[Quantity]]&gt;=5,"HIGH","LOW")</f>
        <v>HIGH</v>
      </c>
      <c r="P47" s="3" t="str">
        <f>IF(Table1_1[[#This Row],[City]]="CALICUT","MARKED CITY","OTHER CITY")</f>
        <v>OTHER CITY</v>
      </c>
    </row>
    <row r="48" spans="1:19" x14ac:dyDescent="0.25">
      <c r="A48">
        <v>1048</v>
      </c>
      <c r="B48" s="2">
        <v>46078</v>
      </c>
      <c r="C48" s="3" t="s">
        <v>87</v>
      </c>
      <c r="D48" s="3" t="s">
        <v>145</v>
      </c>
      <c r="E48" s="3" t="s">
        <v>15</v>
      </c>
      <c r="F48" s="3" t="s">
        <v>16</v>
      </c>
      <c r="G48" s="3" t="s">
        <v>46</v>
      </c>
      <c r="H48">
        <v>9</v>
      </c>
      <c r="I48">
        <v>1271</v>
      </c>
      <c r="J48">
        <v>15</v>
      </c>
      <c r="K48" s="3" t="s">
        <v>141</v>
      </c>
      <c r="L48" s="3" t="s">
        <v>142</v>
      </c>
      <c r="M48" s="3" t="s">
        <v>150</v>
      </c>
      <c r="N48" s="3">
        <f>Table1_1[[#This Row],[Unit Price]]*Table1_1[[#This Row],[Quantity]]</f>
        <v>11439</v>
      </c>
      <c r="O48" s="3" t="str">
        <f>IF(Table1_1[[#This Row],[Quantity]]&gt;=5,"HIGH","LOW")</f>
        <v>HIGH</v>
      </c>
      <c r="P48" s="3" t="str">
        <f>IF(Table1_1[[#This Row],[City]]="CALICUT","MARKED CITY","OTHER CITY")</f>
        <v>OTHER CITY</v>
      </c>
    </row>
    <row r="49" spans="1:16" x14ac:dyDescent="0.25">
      <c r="A49">
        <v>1049</v>
      </c>
      <c r="B49" s="2">
        <v>46052</v>
      </c>
      <c r="C49" s="3" t="s">
        <v>88</v>
      </c>
      <c r="D49" s="3" t="s">
        <v>147</v>
      </c>
      <c r="E49" s="3" t="s">
        <v>15</v>
      </c>
      <c r="F49" s="3" t="s">
        <v>16</v>
      </c>
      <c r="G49" s="3" t="s">
        <v>40</v>
      </c>
      <c r="H49">
        <v>6</v>
      </c>
      <c r="I49">
        <v>4683</v>
      </c>
      <c r="J49">
        <v>15</v>
      </c>
      <c r="K49" s="3" t="s">
        <v>144</v>
      </c>
      <c r="L49" s="3" t="s">
        <v>29</v>
      </c>
      <c r="M49" s="3" t="s">
        <v>152</v>
      </c>
      <c r="N49" s="3">
        <f>Table1_1[[#This Row],[Unit Price]]*Table1_1[[#This Row],[Quantity]]</f>
        <v>28098</v>
      </c>
      <c r="O49" s="3" t="str">
        <f>IF(Table1_1[[#This Row],[Quantity]]&gt;=5,"HIGH","LOW")</f>
        <v>HIGH</v>
      </c>
      <c r="P49" s="3" t="str">
        <f>IF(Table1_1[[#This Row],[City]]="CALICUT","MARKED CITY","OTHER CITY")</f>
        <v>OTHER CITY</v>
      </c>
    </row>
    <row r="50" spans="1:16" x14ac:dyDescent="0.25">
      <c r="A50">
        <v>1050</v>
      </c>
      <c r="B50" s="2">
        <v>46189</v>
      </c>
      <c r="C50" s="3" t="s">
        <v>89</v>
      </c>
      <c r="D50" s="3" t="s">
        <v>145</v>
      </c>
      <c r="E50" s="3" t="s">
        <v>25</v>
      </c>
      <c r="F50" s="3" t="s">
        <v>26</v>
      </c>
      <c r="G50" s="3" t="s">
        <v>46</v>
      </c>
      <c r="H50">
        <v>7</v>
      </c>
      <c r="I50">
        <v>2360</v>
      </c>
      <c r="J50">
        <v>10</v>
      </c>
      <c r="K50" s="3" t="s">
        <v>141</v>
      </c>
      <c r="L50" s="3" t="s">
        <v>29</v>
      </c>
      <c r="M50" s="3" t="s">
        <v>150</v>
      </c>
      <c r="N50" s="3">
        <f>Table1_1[[#This Row],[Unit Price]]*Table1_1[[#This Row],[Quantity]]</f>
        <v>16520</v>
      </c>
      <c r="O50" s="3" t="str">
        <f>IF(Table1_1[[#This Row],[Quantity]]&gt;=5,"HIGH","LOW")</f>
        <v>HIGH</v>
      </c>
      <c r="P50" s="3" t="str">
        <f>IF(Table1_1[[#This Row],[City]]="CALICUT","MARKED CITY","OTHER CITY")</f>
        <v>OTHER CITY</v>
      </c>
    </row>
    <row r="51" spans="1:16" x14ac:dyDescent="0.25">
      <c r="A51">
        <v>1051</v>
      </c>
      <c r="B51" s="2">
        <v>46054</v>
      </c>
      <c r="C51" s="3" t="s">
        <v>90</v>
      </c>
      <c r="D51" s="3" t="s">
        <v>147</v>
      </c>
      <c r="E51" s="3" t="s">
        <v>25</v>
      </c>
      <c r="F51" s="3" t="s">
        <v>26</v>
      </c>
      <c r="G51" s="3" t="s">
        <v>46</v>
      </c>
      <c r="H51">
        <v>10</v>
      </c>
      <c r="I51">
        <v>385</v>
      </c>
      <c r="J51">
        <v>0</v>
      </c>
      <c r="K51" s="3" t="s">
        <v>144</v>
      </c>
      <c r="L51" s="3" t="s">
        <v>29</v>
      </c>
      <c r="M51" s="3" t="s">
        <v>152</v>
      </c>
      <c r="N51" s="3">
        <f>Table1_1[[#This Row],[Unit Price]]*Table1_1[[#This Row],[Quantity]]</f>
        <v>3850</v>
      </c>
      <c r="O51" s="3" t="str">
        <f>IF(Table1_1[[#This Row],[Quantity]]&gt;=5,"HIGH","LOW")</f>
        <v>HIGH</v>
      </c>
      <c r="P51" s="3" t="str">
        <f>IF(Table1_1[[#This Row],[City]]="CALICUT","MARKED CITY","OTHER CITY")</f>
        <v>OTHER CITY</v>
      </c>
    </row>
    <row r="52" spans="1:16" x14ac:dyDescent="0.25">
      <c r="A52">
        <v>1052</v>
      </c>
      <c r="B52" s="2">
        <v>46110</v>
      </c>
      <c r="C52" s="3" t="s">
        <v>91</v>
      </c>
      <c r="D52" s="3" t="s">
        <v>147</v>
      </c>
      <c r="E52" s="3" t="s">
        <v>25</v>
      </c>
      <c r="F52" s="3" t="s">
        <v>26</v>
      </c>
      <c r="G52" s="3" t="s">
        <v>17</v>
      </c>
      <c r="H52">
        <v>5</v>
      </c>
      <c r="I52">
        <v>1649</v>
      </c>
      <c r="J52">
        <v>5</v>
      </c>
      <c r="K52" s="3" t="s">
        <v>141</v>
      </c>
      <c r="L52" s="3" t="s">
        <v>29</v>
      </c>
      <c r="M52" s="3" t="s">
        <v>150</v>
      </c>
      <c r="N52" s="3">
        <f>Table1_1[[#This Row],[Unit Price]]*Table1_1[[#This Row],[Quantity]]</f>
        <v>8245</v>
      </c>
      <c r="O52" s="3" t="str">
        <f>IF(Table1_1[[#This Row],[Quantity]]&gt;=5,"HIGH","LOW")</f>
        <v>HIGH</v>
      </c>
      <c r="P52" s="3" t="str">
        <f>IF(Table1_1[[#This Row],[City]]="CALICUT","MARKED CITY","OTHER CITY")</f>
        <v>OTHER CITY</v>
      </c>
    </row>
    <row r="53" spans="1:16" x14ac:dyDescent="0.25">
      <c r="A53">
        <v>1053</v>
      </c>
      <c r="B53" s="2">
        <v>46033</v>
      </c>
      <c r="C53" s="3" t="s">
        <v>92</v>
      </c>
      <c r="D53" s="3" t="s">
        <v>143</v>
      </c>
      <c r="E53" s="3" t="s">
        <v>36</v>
      </c>
      <c r="F53" s="3" t="s">
        <v>37</v>
      </c>
      <c r="G53" s="3" t="s">
        <v>17</v>
      </c>
      <c r="H53">
        <v>7</v>
      </c>
      <c r="I53">
        <v>4810</v>
      </c>
      <c r="J53">
        <v>0</v>
      </c>
      <c r="K53" s="3" t="s">
        <v>141</v>
      </c>
      <c r="L53" s="3" t="s">
        <v>33</v>
      </c>
      <c r="M53" s="3" t="s">
        <v>150</v>
      </c>
      <c r="N53" s="3">
        <f>Table1_1[[#This Row],[Unit Price]]*Table1_1[[#This Row],[Quantity]]</f>
        <v>33670</v>
      </c>
      <c r="O53" s="3" t="str">
        <f>IF(Table1_1[[#This Row],[Quantity]]&gt;=5,"HIGH","LOW")</f>
        <v>HIGH</v>
      </c>
      <c r="P53" s="3" t="str">
        <f>IF(Table1_1[[#This Row],[City]]="CALICUT","MARKED CITY","OTHER CITY")</f>
        <v>MARKED CITY</v>
      </c>
    </row>
    <row r="54" spans="1:16" x14ac:dyDescent="0.25">
      <c r="A54">
        <v>1054</v>
      </c>
      <c r="B54" s="2">
        <v>46146</v>
      </c>
      <c r="C54" s="3" t="s">
        <v>93</v>
      </c>
      <c r="D54" s="3" t="s">
        <v>143</v>
      </c>
      <c r="E54" s="3" t="s">
        <v>25</v>
      </c>
      <c r="F54" s="3" t="s">
        <v>32</v>
      </c>
      <c r="G54" s="3" t="s">
        <v>27</v>
      </c>
      <c r="H54">
        <v>7</v>
      </c>
      <c r="I54">
        <v>1749</v>
      </c>
      <c r="J54">
        <v>15</v>
      </c>
      <c r="K54" s="3" t="s">
        <v>141</v>
      </c>
      <c r="L54" s="3" t="s">
        <v>142</v>
      </c>
      <c r="M54" s="3" t="s">
        <v>150</v>
      </c>
      <c r="N54" s="3">
        <f>Table1_1[[#This Row],[Unit Price]]*Table1_1[[#This Row],[Quantity]]</f>
        <v>12243</v>
      </c>
      <c r="O54" s="3" t="str">
        <f>IF(Table1_1[[#This Row],[Quantity]]&gt;=5,"HIGH","LOW")</f>
        <v>HIGH</v>
      </c>
      <c r="P54" s="3" t="str">
        <f>IF(Table1_1[[#This Row],[City]]="CALICUT","MARKED CITY","OTHER CITY")</f>
        <v>MARKED CITY</v>
      </c>
    </row>
    <row r="55" spans="1:16" x14ac:dyDescent="0.25">
      <c r="A55">
        <v>1055</v>
      </c>
      <c r="B55" s="2">
        <v>46203</v>
      </c>
      <c r="C55" s="3" t="s">
        <v>94</v>
      </c>
      <c r="D55" s="3" t="s">
        <v>147</v>
      </c>
      <c r="E55" s="3" t="s">
        <v>15</v>
      </c>
      <c r="F55" s="3" t="s">
        <v>16</v>
      </c>
      <c r="G55" s="3" t="s">
        <v>46</v>
      </c>
      <c r="H55">
        <v>8</v>
      </c>
      <c r="I55">
        <v>1461</v>
      </c>
      <c r="J55">
        <v>10</v>
      </c>
      <c r="K55" s="3" t="s">
        <v>141</v>
      </c>
      <c r="L55" s="3" t="s">
        <v>33</v>
      </c>
      <c r="M55" s="3" t="s">
        <v>152</v>
      </c>
      <c r="N55" s="3">
        <f>Table1_1[[#This Row],[Unit Price]]*Table1_1[[#This Row],[Quantity]]</f>
        <v>11688</v>
      </c>
      <c r="O55" s="3" t="str">
        <f>IF(Table1_1[[#This Row],[Quantity]]&gt;=5,"HIGH","LOW")</f>
        <v>HIGH</v>
      </c>
      <c r="P55" s="3" t="str">
        <f>IF(Table1_1[[#This Row],[City]]="CALICUT","MARKED CITY","OTHER CITY")</f>
        <v>OTHER CITY</v>
      </c>
    </row>
    <row r="56" spans="1:16" x14ac:dyDescent="0.25">
      <c r="A56">
        <v>1056</v>
      </c>
      <c r="B56" s="2">
        <v>46066</v>
      </c>
      <c r="C56" s="3" t="s">
        <v>95</v>
      </c>
      <c r="D56" s="3" t="s">
        <v>146</v>
      </c>
      <c r="E56" s="3" t="s">
        <v>25</v>
      </c>
      <c r="F56" s="3" t="s">
        <v>32</v>
      </c>
      <c r="G56" s="3" t="s">
        <v>17</v>
      </c>
      <c r="H56">
        <v>1</v>
      </c>
      <c r="I56">
        <v>941</v>
      </c>
      <c r="J56">
        <v>0</v>
      </c>
      <c r="K56" s="3" t="s">
        <v>141</v>
      </c>
      <c r="L56" s="3" t="s">
        <v>142</v>
      </c>
      <c r="M56" s="3" t="s">
        <v>152</v>
      </c>
      <c r="N56" s="3">
        <f>Table1_1[[#This Row],[Unit Price]]*Table1_1[[#This Row],[Quantity]]</f>
        <v>941</v>
      </c>
      <c r="O56" s="3" t="str">
        <f>IF(Table1_1[[#This Row],[Quantity]]&gt;=5,"HIGH","LOW")</f>
        <v>LOW</v>
      </c>
      <c r="P56" s="3" t="str">
        <f>IF(Table1_1[[#This Row],[City]]="CALICUT","MARKED CITY","OTHER CITY")</f>
        <v>OTHER CITY</v>
      </c>
    </row>
    <row r="57" spans="1:16" x14ac:dyDescent="0.25">
      <c r="A57">
        <v>1057</v>
      </c>
      <c r="B57" s="2">
        <v>46163</v>
      </c>
      <c r="C57" s="3" t="s">
        <v>96</v>
      </c>
      <c r="D57" s="3" t="s">
        <v>147</v>
      </c>
      <c r="E57" s="3" t="s">
        <v>25</v>
      </c>
      <c r="F57" s="3" t="s">
        <v>26</v>
      </c>
      <c r="G57" s="3" t="s">
        <v>17</v>
      </c>
      <c r="H57">
        <v>3</v>
      </c>
      <c r="I57">
        <v>1245</v>
      </c>
      <c r="J57">
        <v>0</v>
      </c>
      <c r="K57" s="3" t="s">
        <v>141</v>
      </c>
      <c r="L57" s="3" t="s">
        <v>33</v>
      </c>
      <c r="M57" s="3" t="s">
        <v>152</v>
      </c>
      <c r="N57" s="3">
        <f>Table1_1[[#This Row],[Unit Price]]*Table1_1[[#This Row],[Quantity]]</f>
        <v>3735</v>
      </c>
      <c r="O57" s="3" t="str">
        <f>IF(Table1_1[[#This Row],[Quantity]]&gt;=5,"HIGH","LOW")</f>
        <v>LOW</v>
      </c>
      <c r="P57" s="3" t="str">
        <f>IF(Table1_1[[#This Row],[City]]="CALICUT","MARKED CITY","OTHER CITY")</f>
        <v>OTHER CITY</v>
      </c>
    </row>
    <row r="58" spans="1:16" x14ac:dyDescent="0.25">
      <c r="A58">
        <v>1058</v>
      </c>
      <c r="B58" s="2">
        <v>46096</v>
      </c>
      <c r="C58" s="3" t="s">
        <v>97</v>
      </c>
      <c r="D58" s="3" t="s">
        <v>147</v>
      </c>
      <c r="E58" s="3" t="s">
        <v>25</v>
      </c>
      <c r="F58" s="3" t="s">
        <v>32</v>
      </c>
      <c r="G58" s="3" t="s">
        <v>46</v>
      </c>
      <c r="H58">
        <v>5</v>
      </c>
      <c r="I58">
        <v>3559</v>
      </c>
      <c r="J58">
        <v>5</v>
      </c>
      <c r="K58" s="3" t="s">
        <v>144</v>
      </c>
      <c r="L58" s="3" t="s">
        <v>33</v>
      </c>
      <c r="M58" s="3" t="s">
        <v>148</v>
      </c>
      <c r="N58" s="3">
        <f>Table1_1[[#This Row],[Unit Price]]*Table1_1[[#This Row],[Quantity]]</f>
        <v>17795</v>
      </c>
      <c r="O58" s="3" t="str">
        <f>IF(Table1_1[[#This Row],[Quantity]]&gt;=5,"HIGH","LOW")</f>
        <v>HIGH</v>
      </c>
      <c r="P58" s="3" t="str">
        <f>IF(Table1_1[[#This Row],[City]]="CALICUT","MARKED CITY","OTHER CITY")</f>
        <v>OTHER CITY</v>
      </c>
    </row>
    <row r="59" spans="1:16" x14ac:dyDescent="0.25">
      <c r="A59">
        <v>1059</v>
      </c>
      <c r="B59" s="2">
        <v>46081</v>
      </c>
      <c r="C59" s="3" t="s">
        <v>98</v>
      </c>
      <c r="D59" s="3" t="s">
        <v>143</v>
      </c>
      <c r="E59" s="3" t="s">
        <v>15</v>
      </c>
      <c r="F59" s="3" t="s">
        <v>16</v>
      </c>
      <c r="G59" s="3" t="s">
        <v>46</v>
      </c>
      <c r="H59">
        <v>4</v>
      </c>
      <c r="I59">
        <v>1204</v>
      </c>
      <c r="J59">
        <v>10</v>
      </c>
      <c r="K59" s="3" t="s">
        <v>144</v>
      </c>
      <c r="L59" s="3" t="s">
        <v>29</v>
      </c>
      <c r="M59" s="3" t="s">
        <v>150</v>
      </c>
      <c r="N59" s="3">
        <f>Table1_1[[#This Row],[Unit Price]]*Table1_1[[#This Row],[Quantity]]</f>
        <v>4816</v>
      </c>
      <c r="O59" s="3" t="str">
        <f>IF(Table1_1[[#This Row],[Quantity]]&gt;=5,"HIGH","LOW")</f>
        <v>LOW</v>
      </c>
      <c r="P59" s="3" t="str">
        <f>IF(Table1_1[[#This Row],[City]]="CALICUT","MARKED CITY","OTHER CITY")</f>
        <v>MARKED CITY</v>
      </c>
    </row>
    <row r="60" spans="1:16" x14ac:dyDescent="0.25">
      <c r="A60">
        <v>1060</v>
      </c>
      <c r="B60" s="2">
        <v>46045</v>
      </c>
      <c r="C60" s="3" t="s">
        <v>99</v>
      </c>
      <c r="D60" s="3" t="s">
        <v>145</v>
      </c>
      <c r="E60" s="3" t="s">
        <v>15</v>
      </c>
      <c r="F60" s="3" t="s">
        <v>16</v>
      </c>
      <c r="G60" s="3" t="s">
        <v>27</v>
      </c>
      <c r="H60">
        <v>10</v>
      </c>
      <c r="I60">
        <v>435</v>
      </c>
      <c r="J60">
        <v>10</v>
      </c>
      <c r="K60" s="3" t="s">
        <v>141</v>
      </c>
      <c r="L60" s="3" t="s">
        <v>142</v>
      </c>
      <c r="M60" s="3" t="s">
        <v>150</v>
      </c>
      <c r="N60" s="3">
        <f>Table1_1[[#This Row],[Unit Price]]*Table1_1[[#This Row],[Quantity]]</f>
        <v>4350</v>
      </c>
      <c r="O60" s="3" t="str">
        <f>IF(Table1_1[[#This Row],[Quantity]]&gt;=5,"HIGH","LOW")</f>
        <v>HIGH</v>
      </c>
      <c r="P60" s="3" t="str">
        <f>IF(Table1_1[[#This Row],[City]]="CALICUT","MARKED CITY","OTHER CITY")</f>
        <v>OTHER CITY</v>
      </c>
    </row>
    <row r="61" spans="1:16" x14ac:dyDescent="0.25">
      <c r="A61">
        <v>1061</v>
      </c>
      <c r="B61" s="2">
        <v>46074</v>
      </c>
      <c r="C61" s="3" t="s">
        <v>100</v>
      </c>
      <c r="D61" s="3" t="s">
        <v>143</v>
      </c>
      <c r="E61" s="3" t="s">
        <v>25</v>
      </c>
      <c r="F61" s="3" t="s">
        <v>26</v>
      </c>
      <c r="G61" s="3" t="s">
        <v>46</v>
      </c>
      <c r="H61">
        <v>4</v>
      </c>
      <c r="I61">
        <v>4428</v>
      </c>
      <c r="J61">
        <v>0</v>
      </c>
      <c r="K61" s="3" t="s">
        <v>144</v>
      </c>
      <c r="L61" s="3" t="s">
        <v>33</v>
      </c>
      <c r="M61" s="3" t="s">
        <v>152</v>
      </c>
      <c r="N61" s="3">
        <f>Table1_1[[#This Row],[Unit Price]]*Table1_1[[#This Row],[Quantity]]</f>
        <v>17712</v>
      </c>
      <c r="O61" s="3" t="str">
        <f>IF(Table1_1[[#This Row],[Quantity]]&gt;=5,"HIGH","LOW")</f>
        <v>LOW</v>
      </c>
      <c r="P61" s="3" t="str">
        <f>IF(Table1_1[[#This Row],[City]]="CALICUT","MARKED CITY","OTHER CITY")</f>
        <v>MARKED CITY</v>
      </c>
    </row>
    <row r="62" spans="1:16" x14ac:dyDescent="0.25">
      <c r="A62">
        <v>1062</v>
      </c>
      <c r="B62" s="2">
        <v>46067</v>
      </c>
      <c r="C62" s="3" t="s">
        <v>101</v>
      </c>
      <c r="D62" s="3" t="s">
        <v>146</v>
      </c>
      <c r="E62" s="3" t="s">
        <v>15</v>
      </c>
      <c r="F62" s="3" t="s">
        <v>45</v>
      </c>
      <c r="G62" s="3" t="s">
        <v>40</v>
      </c>
      <c r="H62">
        <v>4</v>
      </c>
      <c r="I62">
        <v>2146</v>
      </c>
      <c r="J62">
        <v>5</v>
      </c>
      <c r="K62" s="3" t="s">
        <v>144</v>
      </c>
      <c r="L62" s="3" t="s">
        <v>33</v>
      </c>
      <c r="M62" s="3" t="s">
        <v>150</v>
      </c>
      <c r="N62" s="3">
        <f>Table1_1[[#This Row],[Unit Price]]*Table1_1[[#This Row],[Quantity]]</f>
        <v>8584</v>
      </c>
      <c r="O62" s="3" t="str">
        <f>IF(Table1_1[[#This Row],[Quantity]]&gt;=5,"HIGH","LOW")</f>
        <v>LOW</v>
      </c>
      <c r="P62" s="3" t="str">
        <f>IF(Table1_1[[#This Row],[City]]="CALICUT","MARKED CITY","OTHER CITY")</f>
        <v>OTHER CITY</v>
      </c>
    </row>
    <row r="63" spans="1:16" x14ac:dyDescent="0.25">
      <c r="A63">
        <v>1063</v>
      </c>
      <c r="B63" s="2">
        <v>46092</v>
      </c>
      <c r="C63" s="3" t="s">
        <v>102</v>
      </c>
      <c r="D63" s="3" t="s">
        <v>143</v>
      </c>
      <c r="E63" s="3" t="s">
        <v>36</v>
      </c>
      <c r="F63" s="3" t="s">
        <v>37</v>
      </c>
      <c r="G63" s="3" t="s">
        <v>27</v>
      </c>
      <c r="H63">
        <v>4</v>
      </c>
      <c r="I63">
        <v>1168</v>
      </c>
      <c r="J63">
        <v>15</v>
      </c>
      <c r="K63" s="3" t="s">
        <v>144</v>
      </c>
      <c r="L63" s="3" t="s">
        <v>29</v>
      </c>
      <c r="M63" s="3" t="s">
        <v>152</v>
      </c>
      <c r="N63" s="3">
        <f>Table1_1[[#This Row],[Unit Price]]*Table1_1[[#This Row],[Quantity]]</f>
        <v>4672</v>
      </c>
      <c r="O63" s="3" t="str">
        <f>IF(Table1_1[[#This Row],[Quantity]]&gt;=5,"HIGH","LOW")</f>
        <v>LOW</v>
      </c>
      <c r="P63" s="3" t="str">
        <f>IF(Table1_1[[#This Row],[City]]="CALICUT","MARKED CITY","OTHER CITY")</f>
        <v>MARKED CITY</v>
      </c>
    </row>
    <row r="64" spans="1:16" x14ac:dyDescent="0.25">
      <c r="A64">
        <v>1064</v>
      </c>
      <c r="B64" s="2">
        <v>46059</v>
      </c>
      <c r="C64" s="3" t="s">
        <v>103</v>
      </c>
      <c r="D64" s="3" t="s">
        <v>143</v>
      </c>
      <c r="E64" s="3" t="s">
        <v>36</v>
      </c>
      <c r="F64" s="3" t="s">
        <v>39</v>
      </c>
      <c r="G64" s="3" t="s">
        <v>46</v>
      </c>
      <c r="H64">
        <v>6</v>
      </c>
      <c r="I64">
        <v>4798</v>
      </c>
      <c r="J64">
        <v>10</v>
      </c>
      <c r="K64" s="3" t="s">
        <v>144</v>
      </c>
      <c r="L64" s="3" t="s">
        <v>33</v>
      </c>
      <c r="M64" s="3" t="s">
        <v>148</v>
      </c>
      <c r="N64" s="3">
        <f>Table1_1[[#This Row],[Unit Price]]*Table1_1[[#This Row],[Quantity]]</f>
        <v>28788</v>
      </c>
      <c r="O64" s="3" t="str">
        <f>IF(Table1_1[[#This Row],[Quantity]]&gt;=5,"HIGH","LOW")</f>
        <v>HIGH</v>
      </c>
      <c r="P64" s="3" t="str">
        <f>IF(Table1_1[[#This Row],[City]]="CALICUT","MARKED CITY","OTHER CITY")</f>
        <v>MARKED CITY</v>
      </c>
    </row>
    <row r="65" spans="1:16" x14ac:dyDescent="0.25">
      <c r="A65">
        <v>1065</v>
      </c>
      <c r="B65" s="2">
        <v>46082</v>
      </c>
      <c r="C65" s="3" t="s">
        <v>104</v>
      </c>
      <c r="D65" s="3" t="s">
        <v>147</v>
      </c>
      <c r="E65" s="3" t="s">
        <v>36</v>
      </c>
      <c r="F65" s="3" t="s">
        <v>54</v>
      </c>
      <c r="G65" s="3" t="s">
        <v>27</v>
      </c>
      <c r="H65">
        <v>3</v>
      </c>
      <c r="I65">
        <v>2000</v>
      </c>
      <c r="J65">
        <v>10</v>
      </c>
      <c r="K65" s="3" t="s">
        <v>144</v>
      </c>
      <c r="L65" s="3" t="s">
        <v>33</v>
      </c>
      <c r="M65" s="3" t="s">
        <v>152</v>
      </c>
      <c r="N65" s="3">
        <f>Table1_1[[#This Row],[Unit Price]]*Table1_1[[#This Row],[Quantity]]</f>
        <v>6000</v>
      </c>
      <c r="O65" s="3" t="str">
        <f>IF(Table1_1[[#This Row],[Quantity]]&gt;=5,"HIGH","LOW")</f>
        <v>LOW</v>
      </c>
      <c r="P65" s="3" t="str">
        <f>IF(Table1_1[[#This Row],[City]]="CALICUT","MARKED CITY","OTHER CITY")</f>
        <v>OTHER CITY</v>
      </c>
    </row>
    <row r="66" spans="1:16" x14ac:dyDescent="0.25">
      <c r="A66">
        <v>1066</v>
      </c>
      <c r="B66" s="2">
        <v>46115</v>
      </c>
      <c r="C66" s="3" t="s">
        <v>105</v>
      </c>
      <c r="D66" s="3" t="s">
        <v>143</v>
      </c>
      <c r="E66" s="3" t="s">
        <v>15</v>
      </c>
      <c r="F66" s="3" t="s">
        <v>45</v>
      </c>
      <c r="G66" s="3" t="s">
        <v>40</v>
      </c>
      <c r="H66">
        <v>4</v>
      </c>
      <c r="I66">
        <v>3282</v>
      </c>
      <c r="J66">
        <v>15</v>
      </c>
      <c r="K66" s="3" t="s">
        <v>144</v>
      </c>
      <c r="L66" s="3" t="s">
        <v>29</v>
      </c>
      <c r="M66" s="3" t="s">
        <v>150</v>
      </c>
      <c r="N66" s="3">
        <f>Table1_1[[#This Row],[Unit Price]]*Table1_1[[#This Row],[Quantity]]</f>
        <v>13128</v>
      </c>
      <c r="O66" s="3" t="str">
        <f>IF(Table1_1[[#This Row],[Quantity]]&gt;=5,"HIGH","LOW")</f>
        <v>LOW</v>
      </c>
      <c r="P66" s="3" t="str">
        <f>IF(Table1_1[[#This Row],[City]]="CALICUT","MARKED CITY","OTHER CITY")</f>
        <v>MARKED CITY</v>
      </c>
    </row>
    <row r="67" spans="1:16" x14ac:dyDescent="0.25">
      <c r="A67">
        <v>1067</v>
      </c>
      <c r="B67" s="2">
        <v>46067</v>
      </c>
      <c r="C67" s="3" t="s">
        <v>106</v>
      </c>
      <c r="D67" s="3" t="s">
        <v>146</v>
      </c>
      <c r="E67" s="3" t="s">
        <v>15</v>
      </c>
      <c r="F67" s="3" t="s">
        <v>45</v>
      </c>
      <c r="G67" s="3" t="s">
        <v>17</v>
      </c>
      <c r="H67">
        <v>6</v>
      </c>
      <c r="I67">
        <v>584</v>
      </c>
      <c r="J67">
        <v>15</v>
      </c>
      <c r="K67" s="3" t="s">
        <v>141</v>
      </c>
      <c r="L67" s="3" t="s">
        <v>33</v>
      </c>
      <c r="M67" s="3" t="s">
        <v>149</v>
      </c>
      <c r="N67" s="3">
        <f>Table1_1[[#This Row],[Unit Price]]*Table1_1[[#This Row],[Quantity]]</f>
        <v>3504</v>
      </c>
      <c r="O67" s="3" t="str">
        <f>IF(Table1_1[[#This Row],[Quantity]]&gt;=5,"HIGH","LOW")</f>
        <v>HIGH</v>
      </c>
      <c r="P67" s="3" t="str">
        <f>IF(Table1_1[[#This Row],[City]]="CALICUT","MARKED CITY","OTHER CITY")</f>
        <v>OTHER CITY</v>
      </c>
    </row>
    <row r="68" spans="1:16" x14ac:dyDescent="0.25">
      <c r="A68">
        <v>1068</v>
      </c>
      <c r="B68" s="2">
        <v>46032</v>
      </c>
      <c r="C68" s="3" t="s">
        <v>107</v>
      </c>
      <c r="D68" s="3" t="s">
        <v>146</v>
      </c>
      <c r="E68" s="3" t="s">
        <v>25</v>
      </c>
      <c r="F68" s="3" t="s">
        <v>26</v>
      </c>
      <c r="G68" s="3" t="s">
        <v>17</v>
      </c>
      <c r="H68">
        <v>2</v>
      </c>
      <c r="I68">
        <v>1798</v>
      </c>
      <c r="J68">
        <v>10</v>
      </c>
      <c r="K68" s="3" t="s">
        <v>141</v>
      </c>
      <c r="L68" s="3" t="s">
        <v>29</v>
      </c>
      <c r="M68" s="3" t="s">
        <v>152</v>
      </c>
      <c r="N68" s="3">
        <f>Table1_1[[#This Row],[Unit Price]]*Table1_1[[#This Row],[Quantity]]</f>
        <v>3596</v>
      </c>
      <c r="O68" s="3" t="str">
        <f>IF(Table1_1[[#This Row],[Quantity]]&gt;=5,"HIGH","LOW")</f>
        <v>LOW</v>
      </c>
      <c r="P68" s="3" t="str">
        <f>IF(Table1_1[[#This Row],[City]]="CALICUT","MARKED CITY","OTHER CITY")</f>
        <v>OTHER CITY</v>
      </c>
    </row>
    <row r="69" spans="1:16" x14ac:dyDescent="0.25">
      <c r="A69">
        <v>1069</v>
      </c>
      <c r="B69" s="2">
        <v>46061</v>
      </c>
      <c r="C69" s="3" t="s">
        <v>108</v>
      </c>
      <c r="D69" s="3" t="s">
        <v>14</v>
      </c>
      <c r="E69" s="3" t="s">
        <v>15</v>
      </c>
      <c r="F69" s="3" t="s">
        <v>16</v>
      </c>
      <c r="G69" s="3" t="s">
        <v>17</v>
      </c>
      <c r="H69">
        <v>6</v>
      </c>
      <c r="I69">
        <v>3099</v>
      </c>
      <c r="J69">
        <v>5</v>
      </c>
      <c r="K69" s="3" t="s">
        <v>144</v>
      </c>
      <c r="L69" s="3" t="s">
        <v>33</v>
      </c>
      <c r="M69" s="3" t="s">
        <v>148</v>
      </c>
      <c r="N69" s="3">
        <f>Table1_1[[#This Row],[Unit Price]]*Table1_1[[#This Row],[Quantity]]</f>
        <v>18594</v>
      </c>
      <c r="O69" s="3" t="str">
        <f>IF(Table1_1[[#This Row],[Quantity]]&gt;=5,"HIGH","LOW")</f>
        <v>HIGH</v>
      </c>
      <c r="P69" s="3" t="str">
        <f>IF(Table1_1[[#This Row],[City]]="CALICUT","MARKED CITY","OTHER CITY")</f>
        <v>OTHER CITY</v>
      </c>
    </row>
    <row r="70" spans="1:16" x14ac:dyDescent="0.25">
      <c r="A70">
        <v>1070</v>
      </c>
      <c r="B70" s="2">
        <v>46161</v>
      </c>
      <c r="C70" s="3" t="s">
        <v>109</v>
      </c>
      <c r="D70" s="3" t="s">
        <v>143</v>
      </c>
      <c r="E70" s="3" t="s">
        <v>15</v>
      </c>
      <c r="F70" s="3" t="s">
        <v>45</v>
      </c>
      <c r="G70" s="3" t="s">
        <v>46</v>
      </c>
      <c r="H70">
        <v>3</v>
      </c>
      <c r="I70">
        <v>1879</v>
      </c>
      <c r="J70">
        <v>10</v>
      </c>
      <c r="K70" s="3" t="s">
        <v>144</v>
      </c>
      <c r="L70" s="3" t="s">
        <v>29</v>
      </c>
      <c r="M70" s="3" t="s">
        <v>148</v>
      </c>
      <c r="N70" s="3">
        <f>Table1_1[[#This Row],[Unit Price]]*Table1_1[[#This Row],[Quantity]]</f>
        <v>5637</v>
      </c>
      <c r="O70" s="3" t="str">
        <f>IF(Table1_1[[#This Row],[Quantity]]&gt;=5,"HIGH","LOW")</f>
        <v>LOW</v>
      </c>
      <c r="P70" s="3" t="str">
        <f>IF(Table1_1[[#This Row],[City]]="CALICUT","MARKED CITY","OTHER CITY")</f>
        <v>MARKED CITY</v>
      </c>
    </row>
    <row r="71" spans="1:16" x14ac:dyDescent="0.25">
      <c r="A71">
        <v>1071</v>
      </c>
      <c r="B71" s="2">
        <v>46029</v>
      </c>
      <c r="C71" s="3" t="s">
        <v>110</v>
      </c>
      <c r="D71" s="3" t="s">
        <v>14</v>
      </c>
      <c r="E71" s="3" t="s">
        <v>15</v>
      </c>
      <c r="F71" s="3" t="s">
        <v>16</v>
      </c>
      <c r="G71" s="3" t="s">
        <v>40</v>
      </c>
      <c r="H71">
        <v>9</v>
      </c>
      <c r="I71">
        <v>930</v>
      </c>
      <c r="J71">
        <v>0</v>
      </c>
      <c r="K71" s="3" t="s">
        <v>144</v>
      </c>
      <c r="L71" s="3" t="s">
        <v>29</v>
      </c>
      <c r="M71" s="3" t="s">
        <v>148</v>
      </c>
      <c r="N71" s="3">
        <f>Table1_1[[#This Row],[Unit Price]]*Table1_1[[#This Row],[Quantity]]</f>
        <v>8370</v>
      </c>
      <c r="O71" s="3" t="str">
        <f>IF(Table1_1[[#This Row],[Quantity]]&gt;=5,"HIGH","LOW")</f>
        <v>HIGH</v>
      </c>
      <c r="P71" s="3" t="str">
        <f>IF(Table1_1[[#This Row],[City]]="CALICUT","MARKED CITY","OTHER CITY")</f>
        <v>OTHER CITY</v>
      </c>
    </row>
    <row r="72" spans="1:16" x14ac:dyDescent="0.25">
      <c r="A72">
        <v>1072</v>
      </c>
      <c r="B72" s="2">
        <v>46181</v>
      </c>
      <c r="C72" s="3" t="s">
        <v>111</v>
      </c>
      <c r="D72" s="3" t="s">
        <v>147</v>
      </c>
      <c r="E72" s="3" t="s">
        <v>25</v>
      </c>
      <c r="F72" s="3" t="s">
        <v>32</v>
      </c>
      <c r="G72" s="3" t="s">
        <v>17</v>
      </c>
      <c r="H72">
        <v>6</v>
      </c>
      <c r="I72">
        <v>4713</v>
      </c>
      <c r="J72">
        <v>0</v>
      </c>
      <c r="K72" s="3" t="s">
        <v>144</v>
      </c>
      <c r="L72" s="3" t="s">
        <v>33</v>
      </c>
      <c r="M72" s="3" t="s">
        <v>148</v>
      </c>
      <c r="N72" s="3">
        <f>Table1_1[[#This Row],[Unit Price]]*Table1_1[[#This Row],[Quantity]]</f>
        <v>28278</v>
      </c>
      <c r="O72" s="3" t="str">
        <f>IF(Table1_1[[#This Row],[Quantity]]&gt;=5,"HIGH","LOW")</f>
        <v>HIGH</v>
      </c>
      <c r="P72" s="3" t="str">
        <f>IF(Table1_1[[#This Row],[City]]="CALICUT","MARKED CITY","OTHER CITY")</f>
        <v>OTHER CITY</v>
      </c>
    </row>
    <row r="73" spans="1:16" x14ac:dyDescent="0.25">
      <c r="A73">
        <v>1073</v>
      </c>
      <c r="B73" s="2">
        <v>46186</v>
      </c>
      <c r="C73" s="3" t="s">
        <v>112</v>
      </c>
      <c r="D73" s="3" t="s">
        <v>143</v>
      </c>
      <c r="E73" s="3" t="s">
        <v>25</v>
      </c>
      <c r="F73" s="3" t="s">
        <v>26</v>
      </c>
      <c r="G73" s="3" t="s">
        <v>17</v>
      </c>
      <c r="H73">
        <v>2</v>
      </c>
      <c r="I73">
        <v>3055</v>
      </c>
      <c r="J73">
        <v>5</v>
      </c>
      <c r="K73" s="3" t="s">
        <v>141</v>
      </c>
      <c r="L73" s="3" t="s">
        <v>29</v>
      </c>
      <c r="M73" s="3" t="s">
        <v>149</v>
      </c>
      <c r="N73" s="3">
        <f>Table1_1[[#This Row],[Unit Price]]*Table1_1[[#This Row],[Quantity]]</f>
        <v>6110</v>
      </c>
      <c r="O73" s="3" t="str">
        <f>IF(Table1_1[[#This Row],[Quantity]]&gt;=5,"HIGH","LOW")</f>
        <v>LOW</v>
      </c>
      <c r="P73" s="3" t="str">
        <f>IF(Table1_1[[#This Row],[City]]="CALICUT","MARKED CITY","OTHER CITY")</f>
        <v>MARKED CITY</v>
      </c>
    </row>
    <row r="74" spans="1:16" x14ac:dyDescent="0.25">
      <c r="A74">
        <v>1074</v>
      </c>
      <c r="B74" s="2">
        <v>46180</v>
      </c>
      <c r="C74" s="3" t="s">
        <v>113</v>
      </c>
      <c r="D74" s="3" t="s">
        <v>146</v>
      </c>
      <c r="E74" s="3" t="s">
        <v>15</v>
      </c>
      <c r="F74" s="3" t="s">
        <v>16</v>
      </c>
      <c r="G74" s="3" t="s">
        <v>46</v>
      </c>
      <c r="H74">
        <v>5</v>
      </c>
      <c r="I74">
        <v>993</v>
      </c>
      <c r="J74">
        <v>5</v>
      </c>
      <c r="K74" s="3" t="s">
        <v>141</v>
      </c>
      <c r="L74" s="3" t="s">
        <v>33</v>
      </c>
      <c r="M74" s="3" t="s">
        <v>150</v>
      </c>
      <c r="N74" s="3">
        <f>Table1_1[[#This Row],[Unit Price]]*Table1_1[[#This Row],[Quantity]]</f>
        <v>4965</v>
      </c>
      <c r="O74" s="3" t="str">
        <f>IF(Table1_1[[#This Row],[Quantity]]&gt;=5,"HIGH","LOW")</f>
        <v>HIGH</v>
      </c>
      <c r="P74" s="3" t="str">
        <f>IF(Table1_1[[#This Row],[City]]="CALICUT","MARKED CITY","OTHER CITY")</f>
        <v>OTHER CITY</v>
      </c>
    </row>
    <row r="75" spans="1:16" x14ac:dyDescent="0.25">
      <c r="A75">
        <v>1075</v>
      </c>
      <c r="B75" s="2">
        <v>46110</v>
      </c>
      <c r="C75" s="3" t="s">
        <v>114</v>
      </c>
      <c r="D75" s="3" t="s">
        <v>14</v>
      </c>
      <c r="E75" s="3" t="s">
        <v>25</v>
      </c>
      <c r="F75" s="3" t="s">
        <v>26</v>
      </c>
      <c r="G75" s="3" t="s">
        <v>17</v>
      </c>
      <c r="H75">
        <v>2</v>
      </c>
      <c r="I75">
        <v>4128</v>
      </c>
      <c r="J75">
        <v>0</v>
      </c>
      <c r="K75" s="3" t="s">
        <v>141</v>
      </c>
      <c r="L75" s="3" t="s">
        <v>33</v>
      </c>
      <c r="M75" s="3" t="s">
        <v>152</v>
      </c>
      <c r="N75" s="3">
        <f>Table1_1[[#This Row],[Unit Price]]*Table1_1[[#This Row],[Quantity]]</f>
        <v>8256</v>
      </c>
      <c r="O75" s="3" t="str">
        <f>IF(Table1_1[[#This Row],[Quantity]]&gt;=5,"HIGH","LOW")</f>
        <v>LOW</v>
      </c>
      <c r="P75" s="3" t="str">
        <f>IF(Table1_1[[#This Row],[City]]="CALICUT","MARKED CITY","OTHER CITY")</f>
        <v>OTHER CITY</v>
      </c>
    </row>
    <row r="76" spans="1:16" x14ac:dyDescent="0.25">
      <c r="A76">
        <v>1076</v>
      </c>
      <c r="B76" s="2">
        <v>46193</v>
      </c>
      <c r="C76" s="3" t="s">
        <v>115</v>
      </c>
      <c r="D76" s="3" t="s">
        <v>145</v>
      </c>
      <c r="E76" s="3" t="s">
        <v>15</v>
      </c>
      <c r="F76" s="3" t="s">
        <v>16</v>
      </c>
      <c r="G76" s="3" t="s">
        <v>46</v>
      </c>
      <c r="H76">
        <v>4</v>
      </c>
      <c r="I76">
        <v>4162</v>
      </c>
      <c r="J76">
        <v>10</v>
      </c>
      <c r="K76" s="3" t="s">
        <v>141</v>
      </c>
      <c r="L76" s="3" t="s">
        <v>142</v>
      </c>
      <c r="M76" s="3" t="s">
        <v>149</v>
      </c>
      <c r="N76" s="3">
        <f>Table1_1[[#This Row],[Unit Price]]*Table1_1[[#This Row],[Quantity]]</f>
        <v>16648</v>
      </c>
      <c r="O76" s="3" t="str">
        <f>IF(Table1_1[[#This Row],[Quantity]]&gt;=5,"HIGH","LOW")</f>
        <v>LOW</v>
      </c>
      <c r="P76" s="3" t="str">
        <f>IF(Table1_1[[#This Row],[City]]="CALICUT","MARKED CITY","OTHER CITY")</f>
        <v>OTHER CITY</v>
      </c>
    </row>
    <row r="77" spans="1:16" x14ac:dyDescent="0.25">
      <c r="A77">
        <v>1077</v>
      </c>
      <c r="B77" s="2">
        <v>46095</v>
      </c>
      <c r="C77" s="3" t="s">
        <v>116</v>
      </c>
      <c r="D77" s="3" t="s">
        <v>143</v>
      </c>
      <c r="E77" s="3" t="s">
        <v>15</v>
      </c>
      <c r="F77" s="3" t="s">
        <v>45</v>
      </c>
      <c r="G77" s="3" t="s">
        <v>27</v>
      </c>
      <c r="H77">
        <v>8</v>
      </c>
      <c r="I77">
        <v>3138</v>
      </c>
      <c r="J77">
        <v>0</v>
      </c>
      <c r="K77" s="3" t="s">
        <v>141</v>
      </c>
      <c r="L77" s="3" t="s">
        <v>29</v>
      </c>
      <c r="M77" s="3" t="s">
        <v>150</v>
      </c>
      <c r="N77" s="3">
        <f>Table1_1[[#This Row],[Unit Price]]*Table1_1[[#This Row],[Quantity]]</f>
        <v>25104</v>
      </c>
      <c r="O77" s="3" t="str">
        <f>IF(Table1_1[[#This Row],[Quantity]]&gt;=5,"HIGH","LOW")</f>
        <v>HIGH</v>
      </c>
      <c r="P77" s="3" t="str">
        <f>IF(Table1_1[[#This Row],[City]]="CALICUT","MARKED CITY","OTHER CITY")</f>
        <v>MARKED CITY</v>
      </c>
    </row>
    <row r="78" spans="1:16" x14ac:dyDescent="0.25">
      <c r="A78">
        <v>1078</v>
      </c>
      <c r="B78" s="2">
        <v>46194</v>
      </c>
      <c r="C78" s="3" t="s">
        <v>117</v>
      </c>
      <c r="D78" s="3" t="s">
        <v>143</v>
      </c>
      <c r="E78" s="3" t="s">
        <v>25</v>
      </c>
      <c r="F78" s="3" t="s">
        <v>26</v>
      </c>
      <c r="G78" s="3" t="s">
        <v>27</v>
      </c>
      <c r="H78">
        <v>3</v>
      </c>
      <c r="I78">
        <v>1393</v>
      </c>
      <c r="J78">
        <v>5</v>
      </c>
      <c r="K78" s="3" t="s">
        <v>144</v>
      </c>
      <c r="L78" s="3" t="s">
        <v>29</v>
      </c>
      <c r="M78" s="3" t="s">
        <v>150</v>
      </c>
      <c r="N78" s="3">
        <f>Table1_1[[#This Row],[Unit Price]]*Table1_1[[#This Row],[Quantity]]</f>
        <v>4179</v>
      </c>
      <c r="O78" s="3" t="str">
        <f>IF(Table1_1[[#This Row],[Quantity]]&gt;=5,"HIGH","LOW")</f>
        <v>LOW</v>
      </c>
      <c r="P78" s="3" t="str">
        <f>IF(Table1_1[[#This Row],[City]]="CALICUT","MARKED CITY","OTHER CITY")</f>
        <v>MARKED CITY</v>
      </c>
    </row>
    <row r="79" spans="1:16" x14ac:dyDescent="0.25">
      <c r="A79">
        <v>1079</v>
      </c>
      <c r="B79" s="2">
        <v>46073</v>
      </c>
      <c r="C79" s="3" t="s">
        <v>118</v>
      </c>
      <c r="D79" s="3" t="s">
        <v>14</v>
      </c>
      <c r="E79" s="3" t="s">
        <v>25</v>
      </c>
      <c r="F79" s="3" t="s">
        <v>26</v>
      </c>
      <c r="G79" s="3" t="s">
        <v>46</v>
      </c>
      <c r="H79">
        <v>9</v>
      </c>
      <c r="I79">
        <v>4425</v>
      </c>
      <c r="J79">
        <v>0</v>
      </c>
      <c r="K79" s="3" t="s">
        <v>144</v>
      </c>
      <c r="L79" s="3" t="s">
        <v>142</v>
      </c>
      <c r="M79" s="3" t="s">
        <v>150</v>
      </c>
      <c r="N79" s="3">
        <f>Table1_1[[#This Row],[Unit Price]]*Table1_1[[#This Row],[Quantity]]</f>
        <v>39825</v>
      </c>
      <c r="O79" s="3" t="str">
        <f>IF(Table1_1[[#This Row],[Quantity]]&gt;=5,"HIGH","LOW")</f>
        <v>HIGH</v>
      </c>
      <c r="P79" s="3" t="str">
        <f>IF(Table1_1[[#This Row],[City]]="CALICUT","MARKED CITY","OTHER CITY")</f>
        <v>OTHER CITY</v>
      </c>
    </row>
    <row r="80" spans="1:16" x14ac:dyDescent="0.25">
      <c r="A80">
        <v>1080</v>
      </c>
      <c r="B80" s="2">
        <v>46131</v>
      </c>
      <c r="C80" s="3" t="s">
        <v>119</v>
      </c>
      <c r="D80" s="3" t="s">
        <v>147</v>
      </c>
      <c r="E80" s="3" t="s">
        <v>36</v>
      </c>
      <c r="F80" s="3" t="s">
        <v>39</v>
      </c>
      <c r="G80" s="3" t="s">
        <v>17</v>
      </c>
      <c r="H80">
        <v>4</v>
      </c>
      <c r="I80">
        <v>4656</v>
      </c>
      <c r="J80">
        <v>0</v>
      </c>
      <c r="K80" s="3" t="s">
        <v>141</v>
      </c>
      <c r="L80" s="3" t="s">
        <v>142</v>
      </c>
      <c r="M80" s="3" t="s">
        <v>150</v>
      </c>
      <c r="N80" s="3">
        <f>Table1_1[[#This Row],[Unit Price]]*Table1_1[[#This Row],[Quantity]]</f>
        <v>18624</v>
      </c>
      <c r="O80" s="3" t="str">
        <f>IF(Table1_1[[#This Row],[Quantity]]&gt;=5,"HIGH","LOW")</f>
        <v>LOW</v>
      </c>
      <c r="P80" s="3" t="str">
        <f>IF(Table1_1[[#This Row],[City]]="CALICUT","MARKED CITY","OTHER CITY")</f>
        <v>OTHER CITY</v>
      </c>
    </row>
    <row r="81" spans="1:16" x14ac:dyDescent="0.25">
      <c r="A81">
        <v>1081</v>
      </c>
      <c r="B81" s="2">
        <v>46035</v>
      </c>
      <c r="C81" s="3" t="s">
        <v>120</v>
      </c>
      <c r="D81" s="3" t="s">
        <v>146</v>
      </c>
      <c r="E81" s="3" t="s">
        <v>36</v>
      </c>
      <c r="F81" s="3" t="s">
        <v>39</v>
      </c>
      <c r="G81" s="3" t="s">
        <v>17</v>
      </c>
      <c r="H81">
        <v>1</v>
      </c>
      <c r="I81">
        <v>1513</v>
      </c>
      <c r="J81">
        <v>0</v>
      </c>
      <c r="K81" s="3" t="s">
        <v>141</v>
      </c>
      <c r="L81" s="3" t="s">
        <v>29</v>
      </c>
      <c r="M81" s="3" t="s">
        <v>148</v>
      </c>
      <c r="N81" s="3">
        <f>Table1_1[[#This Row],[Unit Price]]*Table1_1[[#This Row],[Quantity]]</f>
        <v>1513</v>
      </c>
      <c r="O81" s="3" t="str">
        <f>IF(Table1_1[[#This Row],[Quantity]]&gt;=5,"HIGH","LOW")</f>
        <v>LOW</v>
      </c>
      <c r="P81" s="3" t="str">
        <f>IF(Table1_1[[#This Row],[City]]="CALICUT","MARKED CITY","OTHER CITY")</f>
        <v>OTHER CITY</v>
      </c>
    </row>
    <row r="82" spans="1:16" x14ac:dyDescent="0.25">
      <c r="A82">
        <v>1082</v>
      </c>
      <c r="B82" s="2">
        <v>46111</v>
      </c>
      <c r="C82" s="3" t="s">
        <v>121</v>
      </c>
      <c r="D82" s="3" t="s">
        <v>145</v>
      </c>
      <c r="E82" s="3" t="s">
        <v>25</v>
      </c>
      <c r="F82" s="3" t="s">
        <v>26</v>
      </c>
      <c r="G82" s="3" t="s">
        <v>17</v>
      </c>
      <c r="H82">
        <v>10</v>
      </c>
      <c r="I82">
        <v>2508</v>
      </c>
      <c r="J82">
        <v>15</v>
      </c>
      <c r="K82" s="3" t="s">
        <v>144</v>
      </c>
      <c r="L82" s="3" t="s">
        <v>142</v>
      </c>
      <c r="M82" s="3" t="s">
        <v>150</v>
      </c>
      <c r="N82" s="3">
        <f>Table1_1[[#This Row],[Unit Price]]*Table1_1[[#This Row],[Quantity]]</f>
        <v>25080</v>
      </c>
      <c r="O82" s="3" t="str">
        <f>IF(Table1_1[[#This Row],[Quantity]]&gt;=5,"HIGH","LOW")</f>
        <v>HIGH</v>
      </c>
      <c r="P82" s="3" t="str">
        <f>IF(Table1_1[[#This Row],[City]]="CALICUT","MARKED CITY","OTHER CITY")</f>
        <v>OTHER CITY</v>
      </c>
    </row>
    <row r="83" spans="1:16" x14ac:dyDescent="0.25">
      <c r="A83">
        <v>1083</v>
      </c>
      <c r="B83" s="2">
        <v>46085</v>
      </c>
      <c r="C83" s="3" t="s">
        <v>122</v>
      </c>
      <c r="D83" s="3" t="s">
        <v>143</v>
      </c>
      <c r="E83" s="3" t="s">
        <v>36</v>
      </c>
      <c r="F83" s="3" t="s">
        <v>37</v>
      </c>
      <c r="G83" s="3" t="s">
        <v>40</v>
      </c>
      <c r="H83">
        <v>2</v>
      </c>
      <c r="I83">
        <v>2555</v>
      </c>
      <c r="J83">
        <v>0</v>
      </c>
      <c r="K83" s="3" t="s">
        <v>141</v>
      </c>
      <c r="L83" s="3" t="s">
        <v>142</v>
      </c>
      <c r="M83" s="3" t="s">
        <v>152</v>
      </c>
      <c r="N83" s="3">
        <f>Table1_1[[#This Row],[Unit Price]]*Table1_1[[#This Row],[Quantity]]</f>
        <v>5110</v>
      </c>
      <c r="O83" s="3" t="str">
        <f>IF(Table1_1[[#This Row],[Quantity]]&gt;=5,"HIGH","LOW")</f>
        <v>LOW</v>
      </c>
      <c r="P83" s="3" t="str">
        <f>IF(Table1_1[[#This Row],[City]]="CALICUT","MARKED CITY","OTHER CITY")</f>
        <v>MARKED CITY</v>
      </c>
    </row>
    <row r="84" spans="1:16" x14ac:dyDescent="0.25">
      <c r="A84">
        <v>1084</v>
      </c>
      <c r="B84" s="2">
        <v>46078</v>
      </c>
      <c r="C84" s="3" t="s">
        <v>123</v>
      </c>
      <c r="D84" s="3" t="s">
        <v>147</v>
      </c>
      <c r="E84" s="3" t="s">
        <v>36</v>
      </c>
      <c r="F84" s="3" t="s">
        <v>37</v>
      </c>
      <c r="G84" s="3" t="s">
        <v>27</v>
      </c>
      <c r="H84">
        <v>6</v>
      </c>
      <c r="I84">
        <v>3179</v>
      </c>
      <c r="J84">
        <v>5</v>
      </c>
      <c r="K84" s="3" t="s">
        <v>141</v>
      </c>
      <c r="L84" s="3" t="s">
        <v>29</v>
      </c>
      <c r="M84" s="3" t="s">
        <v>150</v>
      </c>
      <c r="N84" s="3">
        <f>Table1_1[[#This Row],[Unit Price]]*Table1_1[[#This Row],[Quantity]]</f>
        <v>19074</v>
      </c>
      <c r="O84" s="3" t="str">
        <f>IF(Table1_1[[#This Row],[Quantity]]&gt;=5,"HIGH","LOW")</f>
        <v>HIGH</v>
      </c>
      <c r="P84" s="3" t="str">
        <f>IF(Table1_1[[#This Row],[City]]="CALICUT","MARKED CITY","OTHER CITY")</f>
        <v>OTHER CITY</v>
      </c>
    </row>
    <row r="85" spans="1:16" x14ac:dyDescent="0.25">
      <c r="A85">
        <v>1085</v>
      </c>
      <c r="B85" s="2">
        <v>46082</v>
      </c>
      <c r="C85" s="3" t="s">
        <v>124</v>
      </c>
      <c r="D85" s="3" t="s">
        <v>146</v>
      </c>
      <c r="E85" s="3" t="s">
        <v>15</v>
      </c>
      <c r="F85" s="3" t="s">
        <v>45</v>
      </c>
      <c r="G85" s="3" t="s">
        <v>27</v>
      </c>
      <c r="H85">
        <v>3</v>
      </c>
      <c r="I85">
        <v>2462</v>
      </c>
      <c r="J85">
        <v>5</v>
      </c>
      <c r="K85" s="3" t="s">
        <v>141</v>
      </c>
      <c r="L85" s="3" t="s">
        <v>33</v>
      </c>
      <c r="M85" s="3" t="s">
        <v>149</v>
      </c>
      <c r="N85" s="3">
        <f>Table1_1[[#This Row],[Unit Price]]*Table1_1[[#This Row],[Quantity]]</f>
        <v>7386</v>
      </c>
      <c r="O85" s="3" t="str">
        <f>IF(Table1_1[[#This Row],[Quantity]]&gt;=5,"HIGH","LOW")</f>
        <v>LOW</v>
      </c>
      <c r="P85" s="3" t="str">
        <f>IF(Table1_1[[#This Row],[City]]="CALICUT","MARKED CITY","OTHER CITY")</f>
        <v>OTHER CITY</v>
      </c>
    </row>
    <row r="86" spans="1:16" x14ac:dyDescent="0.25">
      <c r="A86">
        <v>1086</v>
      </c>
      <c r="B86" s="2">
        <v>46120</v>
      </c>
      <c r="C86" s="3" t="s">
        <v>125</v>
      </c>
      <c r="D86" s="3" t="s">
        <v>143</v>
      </c>
      <c r="E86" s="3" t="s">
        <v>36</v>
      </c>
      <c r="F86" s="3" t="s">
        <v>37</v>
      </c>
      <c r="G86" s="3" t="s">
        <v>40</v>
      </c>
      <c r="H86">
        <v>2</v>
      </c>
      <c r="I86">
        <v>4560</v>
      </c>
      <c r="J86">
        <v>0</v>
      </c>
      <c r="K86" s="3" t="s">
        <v>144</v>
      </c>
      <c r="L86" s="3" t="s">
        <v>29</v>
      </c>
      <c r="M86" s="3" t="s">
        <v>150</v>
      </c>
      <c r="N86" s="3">
        <f>Table1_1[[#This Row],[Unit Price]]*Table1_1[[#This Row],[Quantity]]</f>
        <v>9120</v>
      </c>
      <c r="O86" s="3" t="str">
        <f>IF(Table1_1[[#This Row],[Quantity]]&gt;=5,"HIGH","LOW")</f>
        <v>LOW</v>
      </c>
      <c r="P86" s="3" t="str">
        <f>IF(Table1_1[[#This Row],[City]]="CALICUT","MARKED CITY","OTHER CITY")</f>
        <v>MARKED CITY</v>
      </c>
    </row>
    <row r="87" spans="1:16" x14ac:dyDescent="0.25">
      <c r="A87">
        <v>1087</v>
      </c>
      <c r="B87" s="2">
        <v>46028</v>
      </c>
      <c r="C87" s="3" t="s">
        <v>126</v>
      </c>
      <c r="D87" s="3" t="s">
        <v>14</v>
      </c>
      <c r="E87" s="3" t="s">
        <v>36</v>
      </c>
      <c r="F87" s="3" t="s">
        <v>54</v>
      </c>
      <c r="G87" s="3" t="s">
        <v>46</v>
      </c>
      <c r="H87">
        <v>6</v>
      </c>
      <c r="I87">
        <v>3102</v>
      </c>
      <c r="J87">
        <v>5</v>
      </c>
      <c r="K87" s="3" t="s">
        <v>141</v>
      </c>
      <c r="L87" s="3" t="s">
        <v>29</v>
      </c>
      <c r="M87" s="3" t="s">
        <v>150</v>
      </c>
      <c r="N87" s="3">
        <f>Table1_1[[#This Row],[Unit Price]]*Table1_1[[#This Row],[Quantity]]</f>
        <v>18612</v>
      </c>
      <c r="O87" s="3" t="str">
        <f>IF(Table1_1[[#This Row],[Quantity]]&gt;=5,"HIGH","LOW")</f>
        <v>HIGH</v>
      </c>
      <c r="P87" s="3" t="str">
        <f>IF(Table1_1[[#This Row],[City]]="CALICUT","MARKED CITY","OTHER CITY")</f>
        <v>OTHER CITY</v>
      </c>
    </row>
    <row r="88" spans="1:16" x14ac:dyDescent="0.25">
      <c r="A88">
        <v>1088</v>
      </c>
      <c r="B88" s="2">
        <v>46094</v>
      </c>
      <c r="C88" s="3" t="s">
        <v>127</v>
      </c>
      <c r="D88" s="3" t="s">
        <v>146</v>
      </c>
      <c r="E88" s="3" t="s">
        <v>25</v>
      </c>
      <c r="F88" s="3" t="s">
        <v>32</v>
      </c>
      <c r="G88" s="3" t="s">
        <v>46</v>
      </c>
      <c r="H88">
        <v>2</v>
      </c>
      <c r="I88">
        <v>3298</v>
      </c>
      <c r="J88">
        <v>0</v>
      </c>
      <c r="K88" s="3" t="s">
        <v>144</v>
      </c>
      <c r="L88" s="3" t="s">
        <v>29</v>
      </c>
      <c r="M88" s="3" t="s">
        <v>152</v>
      </c>
      <c r="N88" s="3">
        <f>Table1_1[[#This Row],[Unit Price]]*Table1_1[[#This Row],[Quantity]]</f>
        <v>6596</v>
      </c>
      <c r="O88" s="3" t="str">
        <f>IF(Table1_1[[#This Row],[Quantity]]&gt;=5,"HIGH","LOW")</f>
        <v>LOW</v>
      </c>
      <c r="P88" s="3" t="str">
        <f>IF(Table1_1[[#This Row],[City]]="CALICUT","MARKED CITY","OTHER CITY")</f>
        <v>OTHER CITY</v>
      </c>
    </row>
    <row r="89" spans="1:16" x14ac:dyDescent="0.25">
      <c r="A89">
        <v>1089</v>
      </c>
      <c r="B89" s="2">
        <v>46049</v>
      </c>
      <c r="C89" s="3" t="s">
        <v>128</v>
      </c>
      <c r="D89" s="3" t="s">
        <v>146</v>
      </c>
      <c r="E89" s="3" t="s">
        <v>15</v>
      </c>
      <c r="F89" s="3" t="s">
        <v>16</v>
      </c>
      <c r="G89" s="3" t="s">
        <v>46</v>
      </c>
      <c r="H89">
        <v>6</v>
      </c>
      <c r="I89">
        <v>2909</v>
      </c>
      <c r="J89">
        <v>15</v>
      </c>
      <c r="K89" s="3" t="s">
        <v>144</v>
      </c>
      <c r="L89" s="3" t="s">
        <v>142</v>
      </c>
      <c r="M89" s="3" t="s">
        <v>148</v>
      </c>
      <c r="N89" s="3">
        <f>Table1_1[[#This Row],[Unit Price]]*Table1_1[[#This Row],[Quantity]]</f>
        <v>17454</v>
      </c>
      <c r="O89" s="3" t="str">
        <f>IF(Table1_1[[#This Row],[Quantity]]&gt;=5,"HIGH","LOW")</f>
        <v>HIGH</v>
      </c>
      <c r="P89" s="3" t="str">
        <f>IF(Table1_1[[#This Row],[City]]="CALICUT","MARKED CITY","OTHER CITY")</f>
        <v>OTHER CITY</v>
      </c>
    </row>
    <row r="90" spans="1:16" x14ac:dyDescent="0.25">
      <c r="A90">
        <v>1090</v>
      </c>
      <c r="B90" s="2">
        <v>46088</v>
      </c>
      <c r="C90" s="3" t="s">
        <v>129</v>
      </c>
      <c r="D90" s="3" t="s">
        <v>145</v>
      </c>
      <c r="E90" s="3" t="s">
        <v>36</v>
      </c>
      <c r="F90" s="3" t="s">
        <v>54</v>
      </c>
      <c r="G90" s="3" t="s">
        <v>27</v>
      </c>
      <c r="H90">
        <v>1</v>
      </c>
      <c r="I90">
        <v>1957</v>
      </c>
      <c r="J90">
        <v>10</v>
      </c>
      <c r="K90" s="3" t="s">
        <v>141</v>
      </c>
      <c r="L90" s="3" t="s">
        <v>142</v>
      </c>
      <c r="M90" s="3" t="s">
        <v>149</v>
      </c>
      <c r="N90" s="3">
        <f>Table1_1[[#This Row],[Unit Price]]*Table1_1[[#This Row],[Quantity]]</f>
        <v>1957</v>
      </c>
      <c r="O90" s="3" t="str">
        <f>IF(Table1_1[[#This Row],[Quantity]]&gt;=5,"HIGH","LOW")</f>
        <v>LOW</v>
      </c>
      <c r="P90" s="3" t="str">
        <f>IF(Table1_1[[#This Row],[City]]="CALICUT","MARKED CITY","OTHER CITY")</f>
        <v>OTHER CITY</v>
      </c>
    </row>
    <row r="91" spans="1:16" x14ac:dyDescent="0.25">
      <c r="A91">
        <v>1091</v>
      </c>
      <c r="B91" s="2">
        <v>46025</v>
      </c>
      <c r="C91" s="3" t="s">
        <v>130</v>
      </c>
      <c r="D91" s="3" t="s">
        <v>14</v>
      </c>
      <c r="E91" s="3" t="s">
        <v>15</v>
      </c>
      <c r="F91" s="3" t="s">
        <v>16</v>
      </c>
      <c r="G91" s="3" t="s">
        <v>17</v>
      </c>
      <c r="H91">
        <v>2</v>
      </c>
      <c r="I91">
        <v>1703</v>
      </c>
      <c r="J91">
        <v>10</v>
      </c>
      <c r="K91" s="3" t="s">
        <v>141</v>
      </c>
      <c r="L91" s="3" t="s">
        <v>142</v>
      </c>
      <c r="M91" s="3" t="s">
        <v>152</v>
      </c>
      <c r="N91" s="3">
        <f>Table1_1[[#This Row],[Unit Price]]*Table1_1[[#This Row],[Quantity]]</f>
        <v>3406</v>
      </c>
      <c r="O91" s="3" t="str">
        <f>IF(Table1_1[[#This Row],[Quantity]]&gt;=5,"HIGH","LOW")</f>
        <v>LOW</v>
      </c>
      <c r="P91" s="3" t="str">
        <f>IF(Table1_1[[#This Row],[City]]="CALICUT","MARKED CITY","OTHER CITY")</f>
        <v>OTHER CITY</v>
      </c>
    </row>
    <row r="92" spans="1:16" x14ac:dyDescent="0.25">
      <c r="A92">
        <v>1092</v>
      </c>
      <c r="B92" s="2">
        <v>46142</v>
      </c>
      <c r="C92" s="3" t="s">
        <v>131</v>
      </c>
      <c r="D92" s="3" t="s">
        <v>14</v>
      </c>
      <c r="E92" s="3" t="s">
        <v>15</v>
      </c>
      <c r="F92" s="3" t="s">
        <v>16</v>
      </c>
      <c r="G92" s="3" t="s">
        <v>46</v>
      </c>
      <c r="H92">
        <v>7</v>
      </c>
      <c r="I92">
        <v>1418</v>
      </c>
      <c r="J92">
        <v>5</v>
      </c>
      <c r="K92" s="3" t="s">
        <v>141</v>
      </c>
      <c r="L92" s="3" t="s">
        <v>33</v>
      </c>
      <c r="M92" s="3" t="s">
        <v>152</v>
      </c>
      <c r="N92" s="3">
        <f>Table1_1[[#This Row],[Unit Price]]*Table1_1[[#This Row],[Quantity]]</f>
        <v>9926</v>
      </c>
      <c r="O92" s="3" t="str">
        <f>IF(Table1_1[[#This Row],[Quantity]]&gt;=5,"HIGH","LOW")</f>
        <v>HIGH</v>
      </c>
      <c r="P92" s="3" t="str">
        <f>IF(Table1_1[[#This Row],[City]]="CALICUT","MARKED CITY","OTHER CITY")</f>
        <v>OTHER CITY</v>
      </c>
    </row>
    <row r="93" spans="1:16" x14ac:dyDescent="0.25">
      <c r="A93">
        <v>1093</v>
      </c>
      <c r="B93" s="2">
        <v>46122</v>
      </c>
      <c r="C93" s="3" t="s">
        <v>132</v>
      </c>
      <c r="D93" s="3" t="s">
        <v>146</v>
      </c>
      <c r="E93" s="3" t="s">
        <v>15</v>
      </c>
      <c r="F93" s="3" t="s">
        <v>45</v>
      </c>
      <c r="G93" s="3" t="s">
        <v>17</v>
      </c>
      <c r="H93">
        <v>5</v>
      </c>
      <c r="I93">
        <v>4271</v>
      </c>
      <c r="J93">
        <v>0</v>
      </c>
      <c r="K93" s="3" t="s">
        <v>141</v>
      </c>
      <c r="L93" s="3" t="s">
        <v>29</v>
      </c>
      <c r="M93" s="3" t="s">
        <v>149</v>
      </c>
      <c r="N93" s="3">
        <f>Table1_1[[#This Row],[Unit Price]]*Table1_1[[#This Row],[Quantity]]</f>
        <v>21355</v>
      </c>
      <c r="O93" s="3" t="str">
        <f>IF(Table1_1[[#This Row],[Quantity]]&gt;=5,"HIGH","LOW")</f>
        <v>HIGH</v>
      </c>
      <c r="P93" s="3" t="str">
        <f>IF(Table1_1[[#This Row],[City]]="CALICUT","MARKED CITY","OTHER CITY")</f>
        <v>OTHER CITY</v>
      </c>
    </row>
    <row r="94" spans="1:16" x14ac:dyDescent="0.25">
      <c r="A94">
        <v>1094</v>
      </c>
      <c r="B94" s="2">
        <v>46148</v>
      </c>
      <c r="C94" s="3" t="s">
        <v>133</v>
      </c>
      <c r="D94" s="3" t="s">
        <v>146</v>
      </c>
      <c r="E94" s="3" t="s">
        <v>36</v>
      </c>
      <c r="F94" s="3" t="s">
        <v>37</v>
      </c>
      <c r="G94" s="3" t="s">
        <v>17</v>
      </c>
      <c r="H94">
        <v>1</v>
      </c>
      <c r="I94">
        <v>666</v>
      </c>
      <c r="J94">
        <v>15</v>
      </c>
      <c r="K94" s="3" t="s">
        <v>141</v>
      </c>
      <c r="L94" s="3" t="s">
        <v>29</v>
      </c>
      <c r="M94" s="3" t="s">
        <v>148</v>
      </c>
      <c r="N94" s="3">
        <f>Table1_1[[#This Row],[Unit Price]]*Table1_1[[#This Row],[Quantity]]</f>
        <v>666</v>
      </c>
      <c r="O94" s="3" t="str">
        <f>IF(Table1_1[[#This Row],[Quantity]]&gt;=5,"HIGH","LOW")</f>
        <v>LOW</v>
      </c>
      <c r="P94" s="3" t="str">
        <f>IF(Table1_1[[#This Row],[City]]="CALICUT","MARKED CITY","OTHER CITY")</f>
        <v>OTHER CITY</v>
      </c>
    </row>
    <row r="95" spans="1:16" x14ac:dyDescent="0.25">
      <c r="A95">
        <v>1095</v>
      </c>
      <c r="B95" s="2">
        <v>46124</v>
      </c>
      <c r="C95" s="3" t="s">
        <v>134</v>
      </c>
      <c r="D95" s="3" t="s">
        <v>14</v>
      </c>
      <c r="E95" s="3" t="s">
        <v>25</v>
      </c>
      <c r="F95" s="3" t="s">
        <v>26</v>
      </c>
      <c r="G95" s="3" t="s">
        <v>46</v>
      </c>
      <c r="H95">
        <v>6</v>
      </c>
      <c r="I95">
        <v>2059</v>
      </c>
      <c r="J95">
        <v>5</v>
      </c>
      <c r="K95" s="3" t="s">
        <v>144</v>
      </c>
      <c r="L95" s="3" t="s">
        <v>29</v>
      </c>
      <c r="M95" s="3" t="s">
        <v>148</v>
      </c>
      <c r="N95" s="3">
        <f>Table1_1[[#This Row],[Unit Price]]*Table1_1[[#This Row],[Quantity]]</f>
        <v>12354</v>
      </c>
      <c r="O95" s="3" t="str">
        <f>IF(Table1_1[[#This Row],[Quantity]]&gt;=5,"HIGH","LOW")</f>
        <v>HIGH</v>
      </c>
      <c r="P95" s="3" t="str">
        <f>IF(Table1_1[[#This Row],[City]]="CALICUT","MARKED CITY","OTHER CITY")</f>
        <v>OTHER CITY</v>
      </c>
    </row>
    <row r="96" spans="1:16" x14ac:dyDescent="0.25">
      <c r="A96">
        <v>1096</v>
      </c>
      <c r="B96" s="2">
        <v>46138</v>
      </c>
      <c r="C96" s="3" t="s">
        <v>135</v>
      </c>
      <c r="D96" s="3" t="s">
        <v>147</v>
      </c>
      <c r="E96" s="3" t="s">
        <v>15</v>
      </c>
      <c r="F96" s="3" t="s">
        <v>16</v>
      </c>
      <c r="G96" s="3" t="s">
        <v>17</v>
      </c>
      <c r="H96">
        <v>4</v>
      </c>
      <c r="I96">
        <v>1564</v>
      </c>
      <c r="J96">
        <v>0</v>
      </c>
      <c r="K96" s="3" t="s">
        <v>144</v>
      </c>
      <c r="L96" s="3" t="s">
        <v>33</v>
      </c>
      <c r="M96" s="3" t="s">
        <v>149</v>
      </c>
      <c r="N96" s="3">
        <f>Table1_1[[#This Row],[Unit Price]]*Table1_1[[#This Row],[Quantity]]</f>
        <v>6256</v>
      </c>
      <c r="O96" s="3" t="str">
        <f>IF(Table1_1[[#This Row],[Quantity]]&gt;=5,"HIGH","LOW")</f>
        <v>LOW</v>
      </c>
      <c r="P96" s="3" t="str">
        <f>IF(Table1_1[[#This Row],[City]]="CALICUT","MARKED CITY","OTHER CITY")</f>
        <v>OTHER CITY</v>
      </c>
    </row>
    <row r="97" spans="1:16" x14ac:dyDescent="0.25">
      <c r="A97">
        <v>1097</v>
      </c>
      <c r="B97" s="2">
        <v>46166</v>
      </c>
      <c r="C97" s="3" t="s">
        <v>136</v>
      </c>
      <c r="D97" s="3" t="s">
        <v>14</v>
      </c>
      <c r="E97" s="3" t="s">
        <v>15</v>
      </c>
      <c r="F97" s="3" t="s">
        <v>16</v>
      </c>
      <c r="G97" s="3" t="s">
        <v>40</v>
      </c>
      <c r="H97">
        <v>10</v>
      </c>
      <c r="I97">
        <v>1447</v>
      </c>
      <c r="J97">
        <v>5</v>
      </c>
      <c r="K97" s="3" t="s">
        <v>144</v>
      </c>
      <c r="L97" s="3" t="s">
        <v>33</v>
      </c>
      <c r="M97" s="3" t="s">
        <v>148</v>
      </c>
      <c r="N97" s="3">
        <f>Table1_1[[#This Row],[Unit Price]]*Table1_1[[#This Row],[Quantity]]</f>
        <v>14470</v>
      </c>
      <c r="O97" s="3" t="str">
        <f>IF(Table1_1[[#This Row],[Quantity]]&gt;=5,"HIGH","LOW")</f>
        <v>HIGH</v>
      </c>
      <c r="P97" s="3" t="str">
        <f>IF(Table1_1[[#This Row],[City]]="CALICUT","MARKED CITY","OTHER CITY")</f>
        <v>OTHER CITY</v>
      </c>
    </row>
    <row r="98" spans="1:16" x14ac:dyDescent="0.25">
      <c r="A98">
        <v>1098</v>
      </c>
      <c r="B98" s="2">
        <v>46094</v>
      </c>
      <c r="C98" s="3" t="s">
        <v>137</v>
      </c>
      <c r="D98" s="3" t="s">
        <v>145</v>
      </c>
      <c r="E98" s="3" t="s">
        <v>15</v>
      </c>
      <c r="F98" s="3" t="s">
        <v>45</v>
      </c>
      <c r="G98" s="3" t="s">
        <v>40</v>
      </c>
      <c r="H98">
        <v>7</v>
      </c>
      <c r="I98">
        <v>3739</v>
      </c>
      <c r="J98">
        <v>0</v>
      </c>
      <c r="K98" s="3" t="s">
        <v>141</v>
      </c>
      <c r="L98" s="3" t="s">
        <v>29</v>
      </c>
      <c r="M98" s="3" t="s">
        <v>148</v>
      </c>
      <c r="N98" s="3">
        <f>Table1_1[[#This Row],[Unit Price]]*Table1_1[[#This Row],[Quantity]]</f>
        <v>26173</v>
      </c>
      <c r="O98" s="3" t="str">
        <f>IF(Table1_1[[#This Row],[Quantity]]&gt;=5,"HIGH","LOW")</f>
        <v>HIGH</v>
      </c>
      <c r="P98" s="3" t="str">
        <f>IF(Table1_1[[#This Row],[City]]="CALICUT","MARKED CITY","OTHER CITY")</f>
        <v>OTHER CITY</v>
      </c>
    </row>
    <row r="99" spans="1:16" x14ac:dyDescent="0.25">
      <c r="A99">
        <v>1099</v>
      </c>
      <c r="B99" s="2">
        <v>46072</v>
      </c>
      <c r="C99" s="3" t="s">
        <v>138</v>
      </c>
      <c r="D99" s="3" t="s">
        <v>145</v>
      </c>
      <c r="E99" s="3" t="s">
        <v>25</v>
      </c>
      <c r="F99" s="3" t="s">
        <v>26</v>
      </c>
      <c r="G99" s="3" t="s">
        <v>46</v>
      </c>
      <c r="H99">
        <v>1</v>
      </c>
      <c r="I99">
        <v>4096</v>
      </c>
      <c r="J99">
        <v>10</v>
      </c>
      <c r="K99" s="3" t="s">
        <v>141</v>
      </c>
      <c r="L99" s="3" t="s">
        <v>29</v>
      </c>
      <c r="M99" s="3" t="s">
        <v>150</v>
      </c>
      <c r="N99" s="3">
        <f>Table1_1[[#This Row],[Unit Price]]*Table1_1[[#This Row],[Quantity]]</f>
        <v>4096</v>
      </c>
      <c r="O99" s="3" t="str">
        <f>IF(Table1_1[[#This Row],[Quantity]]&gt;=5,"HIGH","LOW")</f>
        <v>LOW</v>
      </c>
      <c r="P99" s="3" t="str">
        <f>IF(Table1_1[[#This Row],[City]]="CALICUT","MARKED CITY","OTHER CITY")</f>
        <v>OTHER CITY</v>
      </c>
    </row>
    <row r="100" spans="1:16" x14ac:dyDescent="0.25">
      <c r="A100">
        <v>1100</v>
      </c>
      <c r="B100" s="2">
        <v>46059</v>
      </c>
      <c r="C100" s="3" t="s">
        <v>139</v>
      </c>
      <c r="D100" s="3" t="s">
        <v>14</v>
      </c>
      <c r="E100" s="3" t="s">
        <v>25</v>
      </c>
      <c r="F100" s="3" t="s">
        <v>26</v>
      </c>
      <c r="G100" s="3" t="s">
        <v>40</v>
      </c>
      <c r="H100">
        <v>8</v>
      </c>
      <c r="I100">
        <v>3693</v>
      </c>
      <c r="J100">
        <v>10</v>
      </c>
      <c r="K100" s="3" t="s">
        <v>144</v>
      </c>
      <c r="L100" s="3" t="s">
        <v>142</v>
      </c>
      <c r="M100" s="3" t="s">
        <v>149</v>
      </c>
      <c r="N100" s="3">
        <f>Table1_1[[#This Row],[Unit Price]]*Table1_1[[#This Row],[Quantity]]</f>
        <v>29544</v>
      </c>
      <c r="O100" s="3" t="str">
        <f>IF(Table1_1[[#This Row],[Quantity]]&gt;=5,"HIGH","LOW")</f>
        <v>HIGH</v>
      </c>
      <c r="P100" s="3" t="str">
        <f>IF(Table1_1[[#This Row],[City]]="CALICUT","MARKED CITY","OTHER CITY")</f>
        <v>OTHER CITY</v>
      </c>
    </row>
    <row r="101" spans="1:16" x14ac:dyDescent="0.25">
      <c r="A101">
        <v>1101</v>
      </c>
      <c r="B101" s="2">
        <v>46151</v>
      </c>
      <c r="C101" s="3" t="s">
        <v>140</v>
      </c>
      <c r="D101" s="3" t="s">
        <v>145</v>
      </c>
      <c r="E101" s="3" t="s">
        <v>15</v>
      </c>
      <c r="F101" s="3" t="s">
        <v>16</v>
      </c>
      <c r="G101" s="3" t="s">
        <v>40</v>
      </c>
      <c r="H101">
        <v>1</v>
      </c>
      <c r="I101">
        <v>3604</v>
      </c>
      <c r="J101">
        <v>10</v>
      </c>
      <c r="K101" s="3" t="s">
        <v>141</v>
      </c>
      <c r="L101" s="3" t="s">
        <v>29</v>
      </c>
      <c r="M101" s="3" t="s">
        <v>152</v>
      </c>
      <c r="N101" s="3">
        <f>Table1_1[[#This Row],[Unit Price]]*Table1_1[[#This Row],[Quantity]]</f>
        <v>3604</v>
      </c>
      <c r="O101" s="3" t="str">
        <f>IF(Table1_1[[#This Row],[Quantity]]&gt;=5,"HIGH","LOW")</f>
        <v>LOW</v>
      </c>
      <c r="P101" s="3" t="str">
        <f>IF(Table1_1[[#This Row],[City]]="CALICUT","MARKED CITY","OTHER CITY")</f>
        <v>OTHER CITY</v>
      </c>
    </row>
  </sheetData>
  <pageMargins left="0.7" right="0.7" top="0.75" bottom="0.75" header="0.3" footer="0.3"/>
  <drawing r:id="rId5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5B2A-47C3-4934-8CC0-9D8C342638B2}">
  <dimension ref="A1:AR152"/>
  <sheetViews>
    <sheetView showGridLines="0" workbookViewId="0">
      <selection activeCell="R18" sqref="R18"/>
    </sheetView>
  </sheetViews>
  <sheetFormatPr defaultRowHeight="15" x14ac:dyDescent="0.25"/>
  <sheetData>
    <row r="1" spans="1:44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spans="1:44" x14ac:dyDescent="0.25">
      <c r="A2" s="6"/>
      <c r="B2" s="6"/>
      <c r="C2" s="6"/>
      <c r="D2" s="6"/>
      <c r="E2" s="6"/>
      <c r="F2" s="6"/>
      <c r="G2" s="10"/>
      <c r="H2" s="10"/>
      <c r="I2" s="10"/>
      <c r="J2" s="10"/>
      <c r="K2" s="10"/>
      <c r="L2" s="10"/>
      <c r="M2" s="10"/>
      <c r="N2" s="8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x14ac:dyDescent="0.25">
      <c r="A3" s="6"/>
      <c r="B3" s="6"/>
      <c r="C3" s="6"/>
      <c r="D3" s="6"/>
      <c r="E3" s="6"/>
      <c r="F3" s="6"/>
      <c r="G3" s="10"/>
      <c r="H3" s="10"/>
      <c r="I3" s="10"/>
      <c r="J3" s="10"/>
      <c r="K3" s="10"/>
      <c r="L3" s="10"/>
      <c r="M3" s="10"/>
      <c r="N3" s="9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x14ac:dyDescent="0.25">
      <c r="A4" s="6"/>
      <c r="B4" s="6"/>
      <c r="C4" s="6"/>
      <c r="D4" s="6"/>
      <c r="E4" s="6"/>
      <c r="F4" s="6"/>
      <c r="G4" s="10"/>
      <c r="H4" s="10"/>
      <c r="I4" s="10"/>
      <c r="J4" s="10"/>
      <c r="K4" s="10"/>
      <c r="L4" s="10"/>
      <c r="M4" s="10"/>
      <c r="N4" s="9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x14ac:dyDescent="0.25">
      <c r="A5" s="6"/>
      <c r="B5" s="6"/>
      <c r="C5" s="6"/>
      <c r="D5" s="6"/>
      <c r="E5" s="6"/>
      <c r="F5" s="6"/>
      <c r="G5" s="10"/>
      <c r="H5" s="10"/>
      <c r="I5" s="10"/>
      <c r="J5" s="10"/>
      <c r="K5" s="10"/>
      <c r="L5" s="10"/>
      <c r="M5" s="10"/>
      <c r="N5" s="9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25">
      <c r="A6" s="6"/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1:4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1:4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spans="1:4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1:4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1:4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1:4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1:4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1:4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1:4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1:4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1:4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1:4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1:4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1:4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pans="1:4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1:4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1:4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1:4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1:4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1:4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1:4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1:4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1:4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1:4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1:4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1:4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1:4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1:4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spans="1:4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spans="1:4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 spans="1:4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 spans="1:44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spans="1:4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 spans="1:44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 spans="1:4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 spans="1:44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 spans="1:4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spans="1:44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1:4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spans="1:44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1:4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spans="1:44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1:4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1:44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1:4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1:44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1:4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1:4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4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4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4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1:44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1:4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1:44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4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1:4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1:44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1:44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1:4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1:44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1:4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1:44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1:4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1:44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1:4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1:4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1:4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1:4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1:4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1:4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:4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:4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:4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1:4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1:4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1:4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1:4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1:4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1:4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1:4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1:4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1:4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1:4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1:4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1:4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1:4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1:4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1:4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1:4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1:4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1:4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1:4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1:4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1:4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1:4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1:4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1:4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1:4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1:4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1:4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1:4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1:4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1:4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1:4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1:4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1:4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1:4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1:4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1:4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1:4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1:4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1:4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1:4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1:4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1:4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1:4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1:4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1:4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sqref="A1:M101"/>
    </sheetView>
  </sheetViews>
  <sheetFormatPr defaultRowHeight="15" x14ac:dyDescent="0.25"/>
  <cols>
    <col min="1" max="1" width="10.5703125" customWidth="1"/>
    <col min="2" max="2" width="13.28515625" customWidth="1"/>
    <col min="3" max="3" width="17.42578125" customWidth="1"/>
    <col min="5" max="5" width="13.85546875" customWidth="1"/>
    <col min="6" max="6" width="10" customWidth="1"/>
    <col min="7" max="7" width="13.85546875" customWidth="1"/>
    <col min="8" max="8" width="10.85546875" customWidth="1"/>
    <col min="9" max="9" width="11.85546875" customWidth="1"/>
    <col min="10" max="10" width="12.85546875" customWidth="1"/>
    <col min="12" max="12" width="18.5703125" customWidth="1"/>
    <col min="13" max="13" width="10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1002</v>
      </c>
      <c r="B2" s="1">
        <v>46137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</v>
      </c>
      <c r="I2">
        <v>4924</v>
      </c>
      <c r="J2">
        <v>0</v>
      </c>
      <c r="K2" t="s">
        <v>18</v>
      </c>
      <c r="L2" t="s">
        <v>19</v>
      </c>
      <c r="M2" t="s">
        <v>20</v>
      </c>
    </row>
    <row r="3" spans="1:13" x14ac:dyDescent="0.25">
      <c r="A3">
        <v>1003</v>
      </c>
      <c r="B3" s="1">
        <v>46102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>
        <v>2</v>
      </c>
      <c r="I3">
        <v>3788</v>
      </c>
      <c r="J3">
        <v>15</v>
      </c>
      <c r="K3" t="s">
        <v>22</v>
      </c>
      <c r="L3" t="s">
        <v>19</v>
      </c>
    </row>
    <row r="4" spans="1:13" x14ac:dyDescent="0.25">
      <c r="A4">
        <v>1004</v>
      </c>
      <c r="B4" s="1">
        <v>46196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9</v>
      </c>
      <c r="I4">
        <v>636</v>
      </c>
      <c r="J4">
        <v>5</v>
      </c>
      <c r="K4" t="s">
        <v>28</v>
      </c>
      <c r="L4" t="s">
        <v>29</v>
      </c>
    </row>
    <row r="5" spans="1:13" x14ac:dyDescent="0.25">
      <c r="A5">
        <v>1005</v>
      </c>
      <c r="B5" s="1">
        <v>46101</v>
      </c>
      <c r="C5" t="s">
        <v>30</v>
      </c>
      <c r="D5" t="s">
        <v>31</v>
      </c>
      <c r="E5" t="s">
        <v>25</v>
      </c>
      <c r="F5" t="s">
        <v>32</v>
      </c>
      <c r="G5" t="s">
        <v>27</v>
      </c>
      <c r="H5">
        <v>5</v>
      </c>
      <c r="I5">
        <v>4721</v>
      </c>
      <c r="J5">
        <v>5</v>
      </c>
      <c r="K5" t="s">
        <v>28</v>
      </c>
      <c r="L5" t="s">
        <v>33</v>
      </c>
      <c r="M5" t="s">
        <v>20</v>
      </c>
    </row>
    <row r="6" spans="1:13" x14ac:dyDescent="0.25">
      <c r="A6">
        <v>1006</v>
      </c>
      <c r="B6" s="1">
        <v>46091</v>
      </c>
      <c r="C6" t="s">
        <v>34</v>
      </c>
      <c r="D6" t="s">
        <v>35</v>
      </c>
      <c r="E6" t="s">
        <v>36</v>
      </c>
      <c r="F6" t="s">
        <v>37</v>
      </c>
      <c r="G6" t="s">
        <v>17</v>
      </c>
      <c r="H6">
        <v>5</v>
      </c>
      <c r="I6">
        <v>310</v>
      </c>
      <c r="J6">
        <v>10</v>
      </c>
      <c r="K6" t="s">
        <v>18</v>
      </c>
      <c r="L6" t="s">
        <v>33</v>
      </c>
      <c r="M6" t="s">
        <v>20</v>
      </c>
    </row>
    <row r="7" spans="1:13" x14ac:dyDescent="0.25">
      <c r="A7">
        <v>1007</v>
      </c>
      <c r="B7" s="1">
        <v>46170</v>
      </c>
      <c r="C7" t="s">
        <v>38</v>
      </c>
      <c r="D7" t="s">
        <v>24</v>
      </c>
      <c r="E7" t="s">
        <v>36</v>
      </c>
      <c r="F7" t="s">
        <v>39</v>
      </c>
      <c r="G7" t="s">
        <v>40</v>
      </c>
      <c r="H7">
        <v>4</v>
      </c>
      <c r="I7">
        <v>1365</v>
      </c>
      <c r="J7">
        <v>5</v>
      </c>
      <c r="K7" t="s">
        <v>28</v>
      </c>
      <c r="L7" t="s">
        <v>29</v>
      </c>
      <c r="M7" t="s">
        <v>41</v>
      </c>
    </row>
    <row r="8" spans="1:13" x14ac:dyDescent="0.25">
      <c r="A8">
        <v>1008</v>
      </c>
      <c r="B8" s="1">
        <v>46194</v>
      </c>
      <c r="C8" t="s">
        <v>42</v>
      </c>
      <c r="D8" t="s">
        <v>43</v>
      </c>
      <c r="E8" t="s">
        <v>25</v>
      </c>
      <c r="F8" t="s">
        <v>26</v>
      </c>
      <c r="G8" t="s">
        <v>40</v>
      </c>
      <c r="H8">
        <v>4</v>
      </c>
      <c r="I8">
        <v>3367</v>
      </c>
      <c r="J8">
        <v>5</v>
      </c>
      <c r="K8" t="s">
        <v>22</v>
      </c>
      <c r="L8" t="s">
        <v>29</v>
      </c>
      <c r="M8" t="s">
        <v>20</v>
      </c>
    </row>
    <row r="9" spans="1:13" x14ac:dyDescent="0.25">
      <c r="A9">
        <v>1009</v>
      </c>
      <c r="B9" s="1">
        <v>46080</v>
      </c>
      <c r="C9" t="s">
        <v>44</v>
      </c>
      <c r="D9" t="s">
        <v>24</v>
      </c>
      <c r="E9" t="s">
        <v>15</v>
      </c>
      <c r="F9" t="s">
        <v>45</v>
      </c>
      <c r="G9" t="s">
        <v>46</v>
      </c>
      <c r="H9">
        <v>7</v>
      </c>
      <c r="I9">
        <v>635</v>
      </c>
      <c r="J9">
        <v>10</v>
      </c>
      <c r="K9" t="s">
        <v>28</v>
      </c>
      <c r="L9" t="s">
        <v>33</v>
      </c>
      <c r="M9" t="s">
        <v>20</v>
      </c>
    </row>
    <row r="10" spans="1:13" x14ac:dyDescent="0.25">
      <c r="A10">
        <v>1010</v>
      </c>
      <c r="B10" s="1">
        <v>46075</v>
      </c>
      <c r="C10" t="s">
        <v>47</v>
      </c>
      <c r="D10" t="s">
        <v>43</v>
      </c>
      <c r="E10" t="s">
        <v>15</v>
      </c>
      <c r="F10" t="s">
        <v>45</v>
      </c>
      <c r="G10" t="s">
        <v>40</v>
      </c>
      <c r="H10">
        <v>2</v>
      </c>
      <c r="I10">
        <v>931</v>
      </c>
      <c r="J10">
        <v>10</v>
      </c>
      <c r="K10" t="s">
        <v>28</v>
      </c>
      <c r="L10" t="s">
        <v>33</v>
      </c>
      <c r="M10" t="s">
        <v>48</v>
      </c>
    </row>
    <row r="11" spans="1:13" x14ac:dyDescent="0.25">
      <c r="A11">
        <v>1011</v>
      </c>
      <c r="B11" s="1">
        <v>46067</v>
      </c>
      <c r="C11" t="s">
        <v>49</v>
      </c>
      <c r="D11" t="s">
        <v>14</v>
      </c>
      <c r="E11" t="s">
        <v>15</v>
      </c>
      <c r="F11" t="s">
        <v>16</v>
      </c>
      <c r="G11" t="s">
        <v>40</v>
      </c>
      <c r="H11">
        <v>2</v>
      </c>
      <c r="I11">
        <v>1634</v>
      </c>
      <c r="J11">
        <v>15</v>
      </c>
      <c r="K11" t="s">
        <v>28</v>
      </c>
      <c r="L11" t="s">
        <v>29</v>
      </c>
    </row>
    <row r="12" spans="1:13" x14ac:dyDescent="0.25">
      <c r="A12">
        <v>1012</v>
      </c>
      <c r="B12" s="1">
        <v>46076</v>
      </c>
      <c r="C12" t="s">
        <v>50</v>
      </c>
      <c r="D12" t="s">
        <v>24</v>
      </c>
      <c r="E12" t="s">
        <v>25</v>
      </c>
      <c r="F12" t="s">
        <v>32</v>
      </c>
      <c r="G12" t="s">
        <v>46</v>
      </c>
      <c r="H12">
        <v>7</v>
      </c>
      <c r="I12">
        <v>4252</v>
      </c>
      <c r="J12">
        <v>15</v>
      </c>
      <c r="K12" t="s">
        <v>28</v>
      </c>
      <c r="L12" t="s">
        <v>19</v>
      </c>
    </row>
    <row r="13" spans="1:13" x14ac:dyDescent="0.25">
      <c r="A13">
        <v>1013</v>
      </c>
      <c r="B13" s="1">
        <v>46189</v>
      </c>
      <c r="C13" t="s">
        <v>51</v>
      </c>
      <c r="D13" t="s">
        <v>24</v>
      </c>
      <c r="E13" t="s">
        <v>15</v>
      </c>
      <c r="F13" t="s">
        <v>16</v>
      </c>
      <c r="G13" t="s">
        <v>17</v>
      </c>
      <c r="H13">
        <v>2</v>
      </c>
      <c r="I13">
        <v>2374</v>
      </c>
      <c r="J13">
        <v>10</v>
      </c>
      <c r="K13" t="s">
        <v>22</v>
      </c>
      <c r="L13" t="s">
        <v>33</v>
      </c>
    </row>
    <row r="14" spans="1:13" x14ac:dyDescent="0.25">
      <c r="A14">
        <v>1014</v>
      </c>
      <c r="B14" s="1">
        <v>46193</v>
      </c>
      <c r="C14" t="s">
        <v>52</v>
      </c>
      <c r="D14" t="s">
        <v>43</v>
      </c>
      <c r="E14" t="s">
        <v>15</v>
      </c>
      <c r="F14" t="s">
        <v>16</v>
      </c>
      <c r="G14" t="s">
        <v>17</v>
      </c>
      <c r="H14">
        <v>5</v>
      </c>
      <c r="I14">
        <v>1612</v>
      </c>
      <c r="J14">
        <v>5</v>
      </c>
      <c r="K14" t="s">
        <v>28</v>
      </c>
      <c r="L14" t="s">
        <v>29</v>
      </c>
      <c r="M14" t="s">
        <v>41</v>
      </c>
    </row>
    <row r="15" spans="1:13" x14ac:dyDescent="0.25">
      <c r="A15">
        <v>1015</v>
      </c>
      <c r="B15" s="1">
        <v>46182</v>
      </c>
      <c r="C15" t="s">
        <v>53</v>
      </c>
      <c r="D15" t="s">
        <v>24</v>
      </c>
      <c r="E15" t="s">
        <v>36</v>
      </c>
      <c r="F15" t="s">
        <v>54</v>
      </c>
      <c r="G15" t="s">
        <v>46</v>
      </c>
      <c r="H15">
        <v>10</v>
      </c>
      <c r="I15">
        <v>1044</v>
      </c>
      <c r="J15">
        <v>15</v>
      </c>
      <c r="K15" t="s">
        <v>22</v>
      </c>
      <c r="L15" t="s">
        <v>29</v>
      </c>
      <c r="M15" t="s">
        <v>20</v>
      </c>
    </row>
    <row r="16" spans="1:13" x14ac:dyDescent="0.25">
      <c r="A16">
        <v>1016</v>
      </c>
      <c r="B16" s="1">
        <v>46113</v>
      </c>
      <c r="C16" t="s">
        <v>55</v>
      </c>
      <c r="D16" t="s">
        <v>43</v>
      </c>
      <c r="E16" t="s">
        <v>36</v>
      </c>
      <c r="F16" t="s">
        <v>54</v>
      </c>
      <c r="G16" t="s">
        <v>46</v>
      </c>
      <c r="H16">
        <v>9</v>
      </c>
      <c r="I16">
        <v>3043</v>
      </c>
      <c r="J16">
        <v>10</v>
      </c>
      <c r="K16" t="s">
        <v>28</v>
      </c>
      <c r="L16" t="s">
        <v>33</v>
      </c>
    </row>
    <row r="17" spans="1:13" x14ac:dyDescent="0.25">
      <c r="A17">
        <v>1017</v>
      </c>
      <c r="B17" s="1">
        <v>46197</v>
      </c>
      <c r="C17" t="s">
        <v>56</v>
      </c>
      <c r="D17" t="s">
        <v>14</v>
      </c>
      <c r="E17" t="s">
        <v>15</v>
      </c>
      <c r="F17" t="s">
        <v>16</v>
      </c>
      <c r="G17" t="s">
        <v>17</v>
      </c>
      <c r="H17">
        <v>1</v>
      </c>
      <c r="I17">
        <v>319</v>
      </c>
      <c r="J17">
        <v>5</v>
      </c>
      <c r="K17" t="s">
        <v>28</v>
      </c>
      <c r="L17" t="s">
        <v>33</v>
      </c>
      <c r="M17" t="s">
        <v>41</v>
      </c>
    </row>
    <row r="18" spans="1:13" x14ac:dyDescent="0.25">
      <c r="A18">
        <v>1018</v>
      </c>
      <c r="B18" s="1">
        <v>46063</v>
      </c>
      <c r="C18" t="s">
        <v>57</v>
      </c>
      <c r="D18" t="s">
        <v>14</v>
      </c>
      <c r="E18" t="s">
        <v>15</v>
      </c>
      <c r="F18" t="s">
        <v>16</v>
      </c>
      <c r="G18" t="s">
        <v>46</v>
      </c>
      <c r="H18">
        <v>8</v>
      </c>
      <c r="I18">
        <v>4177</v>
      </c>
      <c r="J18">
        <v>0</v>
      </c>
      <c r="K18" t="s">
        <v>18</v>
      </c>
      <c r="L18" t="s">
        <v>19</v>
      </c>
      <c r="M18" t="s">
        <v>41</v>
      </c>
    </row>
    <row r="19" spans="1:13" x14ac:dyDescent="0.25">
      <c r="A19">
        <v>1019</v>
      </c>
      <c r="B19" s="1">
        <v>46099</v>
      </c>
      <c r="C19" t="s">
        <v>58</v>
      </c>
      <c r="D19" t="s">
        <v>24</v>
      </c>
      <c r="E19" t="s">
        <v>25</v>
      </c>
      <c r="F19" t="s">
        <v>26</v>
      </c>
      <c r="G19" t="s">
        <v>46</v>
      </c>
      <c r="H19">
        <v>4</v>
      </c>
      <c r="I19">
        <v>3996</v>
      </c>
      <c r="J19">
        <v>5</v>
      </c>
      <c r="K19" t="s">
        <v>28</v>
      </c>
      <c r="L19" t="s">
        <v>29</v>
      </c>
      <c r="M19" t="s">
        <v>41</v>
      </c>
    </row>
    <row r="20" spans="1:13" x14ac:dyDescent="0.25">
      <c r="A20">
        <v>1020</v>
      </c>
      <c r="B20" s="1">
        <v>46126</v>
      </c>
      <c r="C20" t="s">
        <v>59</v>
      </c>
      <c r="D20" t="s">
        <v>14</v>
      </c>
      <c r="E20" t="s">
        <v>36</v>
      </c>
      <c r="F20" t="s">
        <v>54</v>
      </c>
      <c r="G20" t="s">
        <v>17</v>
      </c>
      <c r="H20">
        <v>5</v>
      </c>
      <c r="I20">
        <v>1889</v>
      </c>
      <c r="J20">
        <v>10</v>
      </c>
      <c r="K20" t="s">
        <v>22</v>
      </c>
      <c r="L20" t="s">
        <v>33</v>
      </c>
      <c r="M20" t="s">
        <v>48</v>
      </c>
    </row>
    <row r="21" spans="1:13" x14ac:dyDescent="0.25">
      <c r="A21">
        <v>1021</v>
      </c>
      <c r="B21" s="1">
        <v>46165</v>
      </c>
      <c r="C21" t="s">
        <v>60</v>
      </c>
      <c r="D21" t="s">
        <v>31</v>
      </c>
      <c r="E21" t="s">
        <v>15</v>
      </c>
      <c r="F21" t="s">
        <v>45</v>
      </c>
      <c r="G21" t="s">
        <v>27</v>
      </c>
      <c r="H21">
        <v>10</v>
      </c>
      <c r="I21">
        <v>1883</v>
      </c>
      <c r="J21">
        <v>0</v>
      </c>
      <c r="K21" t="s">
        <v>18</v>
      </c>
      <c r="L21" t="s">
        <v>33</v>
      </c>
      <c r="M21" t="s">
        <v>41</v>
      </c>
    </row>
    <row r="22" spans="1:13" x14ac:dyDescent="0.25">
      <c r="A22">
        <v>1022</v>
      </c>
      <c r="B22" s="1">
        <v>46081</v>
      </c>
      <c r="C22" t="s">
        <v>61</v>
      </c>
      <c r="D22" t="s">
        <v>14</v>
      </c>
      <c r="E22" t="s">
        <v>25</v>
      </c>
      <c r="F22" t="s">
        <v>26</v>
      </c>
      <c r="G22" t="s">
        <v>27</v>
      </c>
      <c r="H22">
        <v>3</v>
      </c>
      <c r="I22">
        <v>3962</v>
      </c>
      <c r="J22">
        <v>5</v>
      </c>
      <c r="K22" t="s">
        <v>22</v>
      </c>
      <c r="L22" t="s">
        <v>33</v>
      </c>
      <c r="M22" t="s">
        <v>41</v>
      </c>
    </row>
    <row r="23" spans="1:13" x14ac:dyDescent="0.25">
      <c r="A23">
        <v>1023</v>
      </c>
      <c r="B23" s="1">
        <v>46146</v>
      </c>
      <c r="C23" t="s">
        <v>62</v>
      </c>
      <c r="D23" t="s">
        <v>14</v>
      </c>
      <c r="E23" t="s">
        <v>15</v>
      </c>
      <c r="F23" t="s">
        <v>45</v>
      </c>
      <c r="G23" t="s">
        <v>27</v>
      </c>
      <c r="H23">
        <v>2</v>
      </c>
      <c r="I23">
        <v>1153</v>
      </c>
      <c r="J23">
        <v>0</v>
      </c>
      <c r="K23" t="s">
        <v>22</v>
      </c>
      <c r="L23" t="s">
        <v>19</v>
      </c>
      <c r="M23" t="s">
        <v>48</v>
      </c>
    </row>
    <row r="24" spans="1:13" x14ac:dyDescent="0.25">
      <c r="A24">
        <v>1024</v>
      </c>
      <c r="B24" s="1">
        <v>46075</v>
      </c>
      <c r="C24" t="s">
        <v>63</v>
      </c>
      <c r="D24" t="s">
        <v>24</v>
      </c>
      <c r="E24" t="s">
        <v>25</v>
      </c>
      <c r="F24" t="s">
        <v>26</v>
      </c>
      <c r="G24" t="s">
        <v>46</v>
      </c>
      <c r="H24">
        <v>6</v>
      </c>
      <c r="I24">
        <v>2809</v>
      </c>
      <c r="J24">
        <v>5</v>
      </c>
      <c r="K24" t="s">
        <v>28</v>
      </c>
      <c r="L24" t="s">
        <v>19</v>
      </c>
      <c r="M24" t="s">
        <v>20</v>
      </c>
    </row>
    <row r="25" spans="1:13" x14ac:dyDescent="0.25">
      <c r="A25">
        <v>1025</v>
      </c>
      <c r="B25" s="1">
        <v>46129</v>
      </c>
      <c r="C25" t="s">
        <v>64</v>
      </c>
      <c r="D25" t="s">
        <v>24</v>
      </c>
      <c r="E25" t="s">
        <v>36</v>
      </c>
      <c r="F25" t="s">
        <v>37</v>
      </c>
      <c r="G25" t="s">
        <v>40</v>
      </c>
      <c r="H25">
        <v>4</v>
      </c>
      <c r="I25">
        <v>2307</v>
      </c>
      <c r="J25">
        <v>10</v>
      </c>
      <c r="K25" t="s">
        <v>18</v>
      </c>
      <c r="L25" t="s">
        <v>19</v>
      </c>
      <c r="M25" t="s">
        <v>41</v>
      </c>
    </row>
    <row r="26" spans="1:13" x14ac:dyDescent="0.25">
      <c r="A26">
        <v>1026</v>
      </c>
      <c r="B26" s="1">
        <v>46030</v>
      </c>
      <c r="C26" t="s">
        <v>65</v>
      </c>
      <c r="D26" t="s">
        <v>24</v>
      </c>
      <c r="E26" t="s">
        <v>25</v>
      </c>
      <c r="F26" t="s">
        <v>32</v>
      </c>
      <c r="G26" t="s">
        <v>17</v>
      </c>
      <c r="H26">
        <v>2</v>
      </c>
      <c r="I26">
        <v>1874</v>
      </c>
      <c r="J26">
        <v>0</v>
      </c>
      <c r="K26" t="s">
        <v>22</v>
      </c>
      <c r="L26" t="s">
        <v>29</v>
      </c>
    </row>
    <row r="27" spans="1:13" x14ac:dyDescent="0.25">
      <c r="A27">
        <v>1027</v>
      </c>
      <c r="B27" s="1">
        <v>46075</v>
      </c>
      <c r="C27" t="s">
        <v>66</v>
      </c>
      <c r="D27" t="s">
        <v>35</v>
      </c>
      <c r="E27" t="s">
        <v>15</v>
      </c>
      <c r="F27" t="s">
        <v>16</v>
      </c>
      <c r="G27" t="s">
        <v>17</v>
      </c>
      <c r="H27">
        <v>9</v>
      </c>
      <c r="I27">
        <v>2591</v>
      </c>
      <c r="J27">
        <v>10</v>
      </c>
      <c r="K27" t="s">
        <v>18</v>
      </c>
      <c r="L27" t="s">
        <v>33</v>
      </c>
      <c r="M27" t="s">
        <v>48</v>
      </c>
    </row>
    <row r="28" spans="1:13" x14ac:dyDescent="0.25">
      <c r="A28">
        <v>1028</v>
      </c>
      <c r="B28" s="1">
        <v>46153</v>
      </c>
      <c r="C28" t="s">
        <v>67</v>
      </c>
      <c r="D28" t="s">
        <v>43</v>
      </c>
      <c r="E28" t="s">
        <v>36</v>
      </c>
      <c r="F28" t="s">
        <v>54</v>
      </c>
      <c r="G28" t="s">
        <v>40</v>
      </c>
      <c r="H28">
        <v>10</v>
      </c>
      <c r="I28">
        <v>2973</v>
      </c>
      <c r="J28">
        <v>5</v>
      </c>
      <c r="K28" t="s">
        <v>22</v>
      </c>
      <c r="L28" t="s">
        <v>29</v>
      </c>
      <c r="M28" t="s">
        <v>48</v>
      </c>
    </row>
    <row r="29" spans="1:13" x14ac:dyDescent="0.25">
      <c r="A29">
        <v>1029</v>
      </c>
      <c r="B29" s="1">
        <v>46122</v>
      </c>
      <c r="C29" t="s">
        <v>68</v>
      </c>
      <c r="D29" t="s">
        <v>24</v>
      </c>
      <c r="E29" t="s">
        <v>15</v>
      </c>
      <c r="F29" t="s">
        <v>16</v>
      </c>
      <c r="G29" t="s">
        <v>40</v>
      </c>
      <c r="H29">
        <v>1</v>
      </c>
      <c r="I29">
        <v>1713</v>
      </c>
      <c r="J29">
        <v>0</v>
      </c>
      <c r="K29" t="s">
        <v>28</v>
      </c>
      <c r="L29" t="s">
        <v>29</v>
      </c>
      <c r="M29" t="s">
        <v>20</v>
      </c>
    </row>
    <row r="30" spans="1:13" x14ac:dyDescent="0.25">
      <c r="A30">
        <v>1030</v>
      </c>
      <c r="B30" s="1">
        <v>46163</v>
      </c>
      <c r="C30" t="s">
        <v>69</v>
      </c>
      <c r="D30" t="s">
        <v>24</v>
      </c>
      <c r="E30" t="s">
        <v>25</v>
      </c>
      <c r="F30" t="s">
        <v>32</v>
      </c>
      <c r="G30" t="s">
        <v>46</v>
      </c>
      <c r="H30">
        <v>2</v>
      </c>
      <c r="I30">
        <v>4916</v>
      </c>
      <c r="J30">
        <v>5</v>
      </c>
      <c r="K30" t="s">
        <v>28</v>
      </c>
      <c r="L30" t="s">
        <v>19</v>
      </c>
      <c r="M30" t="s">
        <v>48</v>
      </c>
    </row>
    <row r="31" spans="1:13" x14ac:dyDescent="0.25">
      <c r="A31">
        <v>1031</v>
      </c>
      <c r="B31" s="1">
        <v>46061</v>
      </c>
      <c r="C31" t="s">
        <v>70</v>
      </c>
      <c r="D31" t="s">
        <v>31</v>
      </c>
      <c r="E31" t="s">
        <v>25</v>
      </c>
      <c r="F31" t="s">
        <v>32</v>
      </c>
      <c r="G31" t="s">
        <v>46</v>
      </c>
      <c r="H31">
        <v>7</v>
      </c>
      <c r="I31">
        <v>2683</v>
      </c>
      <c r="J31">
        <v>10</v>
      </c>
      <c r="K31" t="s">
        <v>18</v>
      </c>
      <c r="L31" t="s">
        <v>19</v>
      </c>
    </row>
    <row r="32" spans="1:13" x14ac:dyDescent="0.25">
      <c r="A32">
        <v>1032</v>
      </c>
      <c r="B32" s="1">
        <v>46122</v>
      </c>
      <c r="C32" t="s">
        <v>71</v>
      </c>
      <c r="D32" t="s">
        <v>35</v>
      </c>
      <c r="E32" t="s">
        <v>15</v>
      </c>
      <c r="F32" t="s">
        <v>45</v>
      </c>
      <c r="G32" t="s">
        <v>40</v>
      </c>
      <c r="H32">
        <v>10</v>
      </c>
      <c r="I32">
        <v>4144</v>
      </c>
      <c r="J32">
        <v>15</v>
      </c>
      <c r="K32" t="s">
        <v>22</v>
      </c>
      <c r="L32" t="s">
        <v>33</v>
      </c>
      <c r="M32" t="s">
        <v>41</v>
      </c>
    </row>
    <row r="33" spans="1:13" x14ac:dyDescent="0.25">
      <c r="A33">
        <v>1033</v>
      </c>
      <c r="B33" s="1">
        <v>46133</v>
      </c>
      <c r="C33" t="s">
        <v>72</v>
      </c>
      <c r="D33" t="s">
        <v>35</v>
      </c>
      <c r="E33" t="s">
        <v>36</v>
      </c>
      <c r="F33" t="s">
        <v>39</v>
      </c>
      <c r="G33" t="s">
        <v>27</v>
      </c>
      <c r="H33">
        <v>7</v>
      </c>
      <c r="I33">
        <v>4072</v>
      </c>
      <c r="J33">
        <v>15</v>
      </c>
      <c r="K33" t="s">
        <v>22</v>
      </c>
      <c r="L33" t="s">
        <v>19</v>
      </c>
    </row>
    <row r="34" spans="1:13" x14ac:dyDescent="0.25">
      <c r="A34">
        <v>1034</v>
      </c>
      <c r="B34" s="1">
        <v>46057</v>
      </c>
      <c r="C34" t="s">
        <v>73</v>
      </c>
      <c r="D34" t="s">
        <v>24</v>
      </c>
      <c r="E34" t="s">
        <v>25</v>
      </c>
      <c r="F34" t="s">
        <v>32</v>
      </c>
      <c r="G34" t="s">
        <v>46</v>
      </c>
      <c r="H34">
        <v>9</v>
      </c>
      <c r="I34">
        <v>2346</v>
      </c>
      <c r="J34">
        <v>15</v>
      </c>
      <c r="K34" t="s">
        <v>28</v>
      </c>
      <c r="L34" t="s">
        <v>29</v>
      </c>
      <c r="M34" t="s">
        <v>20</v>
      </c>
    </row>
    <row r="35" spans="1:13" x14ac:dyDescent="0.25">
      <c r="A35">
        <v>1035</v>
      </c>
      <c r="B35" s="1">
        <v>46045</v>
      </c>
      <c r="C35" t="s">
        <v>74</v>
      </c>
      <c r="D35" t="s">
        <v>35</v>
      </c>
      <c r="E35" t="s">
        <v>15</v>
      </c>
      <c r="F35" t="s">
        <v>45</v>
      </c>
      <c r="G35" t="s">
        <v>46</v>
      </c>
      <c r="H35">
        <v>2</v>
      </c>
      <c r="I35">
        <v>546</v>
      </c>
      <c r="J35">
        <v>5</v>
      </c>
      <c r="K35" t="s">
        <v>22</v>
      </c>
      <c r="L35" t="s">
        <v>29</v>
      </c>
      <c r="M35" t="s">
        <v>20</v>
      </c>
    </row>
    <row r="36" spans="1:13" x14ac:dyDescent="0.25">
      <c r="A36">
        <v>1036</v>
      </c>
      <c r="B36" s="1">
        <v>46113</v>
      </c>
      <c r="C36" t="s">
        <v>75</v>
      </c>
      <c r="D36" t="s">
        <v>31</v>
      </c>
      <c r="E36" t="s">
        <v>36</v>
      </c>
      <c r="F36" t="s">
        <v>54</v>
      </c>
      <c r="G36" t="s">
        <v>40</v>
      </c>
      <c r="H36">
        <v>10</v>
      </c>
      <c r="I36">
        <v>705</v>
      </c>
      <c r="J36">
        <v>0</v>
      </c>
      <c r="K36" t="s">
        <v>28</v>
      </c>
      <c r="L36" t="s">
        <v>29</v>
      </c>
      <c r="M36" t="s">
        <v>41</v>
      </c>
    </row>
    <row r="37" spans="1:13" x14ac:dyDescent="0.25">
      <c r="A37">
        <v>1037</v>
      </c>
      <c r="B37" s="1">
        <v>46141</v>
      </c>
      <c r="C37" t="s">
        <v>76</v>
      </c>
      <c r="D37" t="s">
        <v>31</v>
      </c>
      <c r="E37" t="s">
        <v>15</v>
      </c>
      <c r="F37" t="s">
        <v>16</v>
      </c>
      <c r="G37" t="s">
        <v>17</v>
      </c>
      <c r="H37">
        <v>4</v>
      </c>
      <c r="I37">
        <v>2514</v>
      </c>
      <c r="J37">
        <v>0</v>
      </c>
      <c r="K37" t="s">
        <v>28</v>
      </c>
      <c r="L37" t="s">
        <v>19</v>
      </c>
      <c r="M37" t="s">
        <v>48</v>
      </c>
    </row>
    <row r="38" spans="1:13" x14ac:dyDescent="0.25">
      <c r="A38">
        <v>1038</v>
      </c>
      <c r="B38" s="1">
        <v>46182</v>
      </c>
      <c r="C38" t="s">
        <v>77</v>
      </c>
      <c r="D38" t="s">
        <v>43</v>
      </c>
      <c r="E38" t="s">
        <v>36</v>
      </c>
      <c r="F38" t="s">
        <v>54</v>
      </c>
      <c r="G38" t="s">
        <v>27</v>
      </c>
      <c r="H38">
        <v>6</v>
      </c>
      <c r="I38">
        <v>1188</v>
      </c>
      <c r="J38">
        <v>0</v>
      </c>
      <c r="K38" t="s">
        <v>28</v>
      </c>
      <c r="L38" t="s">
        <v>33</v>
      </c>
      <c r="M38" t="s">
        <v>41</v>
      </c>
    </row>
    <row r="39" spans="1:13" x14ac:dyDescent="0.25">
      <c r="A39">
        <v>1039</v>
      </c>
      <c r="B39" s="1">
        <v>46087</v>
      </c>
      <c r="C39" t="s">
        <v>78</v>
      </c>
      <c r="D39" t="s">
        <v>43</v>
      </c>
      <c r="E39" t="s">
        <v>15</v>
      </c>
      <c r="F39" t="s">
        <v>45</v>
      </c>
      <c r="G39" t="s">
        <v>40</v>
      </c>
      <c r="H39">
        <v>6</v>
      </c>
      <c r="I39">
        <v>4718</v>
      </c>
      <c r="J39">
        <v>5</v>
      </c>
      <c r="K39" t="s">
        <v>28</v>
      </c>
      <c r="L39" t="s">
        <v>33</v>
      </c>
      <c r="M39" t="s">
        <v>41</v>
      </c>
    </row>
    <row r="40" spans="1:13" x14ac:dyDescent="0.25">
      <c r="A40">
        <v>1040</v>
      </c>
      <c r="B40" s="1">
        <v>46181</v>
      </c>
      <c r="C40" t="s">
        <v>79</v>
      </c>
      <c r="D40" t="s">
        <v>31</v>
      </c>
      <c r="E40" t="s">
        <v>36</v>
      </c>
      <c r="F40" t="s">
        <v>37</v>
      </c>
      <c r="G40" t="s">
        <v>40</v>
      </c>
      <c r="H40">
        <v>8</v>
      </c>
      <c r="I40">
        <v>565</v>
      </c>
      <c r="J40">
        <v>15</v>
      </c>
      <c r="K40" t="s">
        <v>28</v>
      </c>
      <c r="L40" t="s">
        <v>33</v>
      </c>
      <c r="M40" t="s">
        <v>41</v>
      </c>
    </row>
    <row r="41" spans="1:13" x14ac:dyDescent="0.25">
      <c r="A41">
        <v>1041</v>
      </c>
      <c r="B41" s="1">
        <v>46063</v>
      </c>
      <c r="C41" t="s">
        <v>80</v>
      </c>
      <c r="D41" t="s">
        <v>31</v>
      </c>
      <c r="E41" t="s">
        <v>36</v>
      </c>
      <c r="F41" t="s">
        <v>37</v>
      </c>
      <c r="G41" t="s">
        <v>17</v>
      </c>
      <c r="H41">
        <v>3</v>
      </c>
      <c r="I41">
        <v>4102</v>
      </c>
      <c r="J41">
        <v>5</v>
      </c>
      <c r="K41" t="s">
        <v>28</v>
      </c>
      <c r="L41" t="s">
        <v>19</v>
      </c>
      <c r="M41" t="s">
        <v>20</v>
      </c>
    </row>
    <row r="42" spans="1:13" x14ac:dyDescent="0.25">
      <c r="A42">
        <v>1042</v>
      </c>
      <c r="B42" s="1">
        <v>46052</v>
      </c>
      <c r="C42" t="s">
        <v>81</v>
      </c>
      <c r="D42" t="s">
        <v>24</v>
      </c>
      <c r="E42" t="s">
        <v>15</v>
      </c>
      <c r="F42" t="s">
        <v>45</v>
      </c>
      <c r="G42" t="s">
        <v>17</v>
      </c>
      <c r="H42">
        <v>4</v>
      </c>
      <c r="I42">
        <v>713</v>
      </c>
      <c r="J42">
        <v>15</v>
      </c>
      <c r="K42" t="s">
        <v>22</v>
      </c>
      <c r="L42" t="s">
        <v>19</v>
      </c>
      <c r="M42" t="s">
        <v>48</v>
      </c>
    </row>
    <row r="43" spans="1:13" x14ac:dyDescent="0.25">
      <c r="A43">
        <v>1043</v>
      </c>
      <c r="B43" s="1">
        <v>46156</v>
      </c>
      <c r="C43" t="s">
        <v>82</v>
      </c>
      <c r="D43" t="s">
        <v>14</v>
      </c>
      <c r="E43" t="s">
        <v>15</v>
      </c>
      <c r="F43" t="s">
        <v>45</v>
      </c>
      <c r="G43" t="s">
        <v>27</v>
      </c>
      <c r="H43">
        <v>5</v>
      </c>
      <c r="I43">
        <v>2283</v>
      </c>
      <c r="J43">
        <v>15</v>
      </c>
      <c r="K43" t="s">
        <v>28</v>
      </c>
      <c r="L43" t="s">
        <v>29</v>
      </c>
      <c r="M43" t="s">
        <v>41</v>
      </c>
    </row>
    <row r="44" spans="1:13" x14ac:dyDescent="0.25">
      <c r="A44">
        <v>1044</v>
      </c>
      <c r="B44" s="1">
        <v>46078</v>
      </c>
      <c r="C44" t="s">
        <v>83</v>
      </c>
      <c r="D44" t="s">
        <v>14</v>
      </c>
      <c r="E44" t="s">
        <v>36</v>
      </c>
      <c r="F44" t="s">
        <v>39</v>
      </c>
      <c r="G44" t="s">
        <v>46</v>
      </c>
      <c r="H44">
        <v>8</v>
      </c>
      <c r="I44">
        <v>1957</v>
      </c>
      <c r="J44">
        <v>10</v>
      </c>
      <c r="K44" t="s">
        <v>28</v>
      </c>
      <c r="L44" t="s">
        <v>19</v>
      </c>
      <c r="M44" t="s">
        <v>20</v>
      </c>
    </row>
    <row r="45" spans="1:13" x14ac:dyDescent="0.25">
      <c r="A45">
        <v>1045</v>
      </c>
      <c r="B45" s="1">
        <v>46046</v>
      </c>
      <c r="C45" t="s">
        <v>84</v>
      </c>
      <c r="D45" t="s">
        <v>43</v>
      </c>
      <c r="E45" t="s">
        <v>25</v>
      </c>
      <c r="F45" t="s">
        <v>26</v>
      </c>
      <c r="G45" t="s">
        <v>46</v>
      </c>
      <c r="H45">
        <v>10</v>
      </c>
      <c r="I45">
        <v>2544</v>
      </c>
      <c r="J45">
        <v>5</v>
      </c>
      <c r="K45" t="s">
        <v>28</v>
      </c>
      <c r="L45" t="s">
        <v>19</v>
      </c>
    </row>
    <row r="46" spans="1:13" x14ac:dyDescent="0.25">
      <c r="A46">
        <v>1046</v>
      </c>
      <c r="B46" s="1">
        <v>46180</v>
      </c>
      <c r="C46" t="s">
        <v>85</v>
      </c>
      <c r="D46" t="s">
        <v>31</v>
      </c>
      <c r="E46" t="s">
        <v>25</v>
      </c>
      <c r="F46" t="s">
        <v>26</v>
      </c>
      <c r="G46" t="s">
        <v>40</v>
      </c>
      <c r="H46">
        <v>1</v>
      </c>
      <c r="I46">
        <v>353</v>
      </c>
      <c r="J46">
        <v>15</v>
      </c>
      <c r="K46" t="s">
        <v>28</v>
      </c>
      <c r="L46" t="s">
        <v>29</v>
      </c>
      <c r="M46" t="s">
        <v>41</v>
      </c>
    </row>
    <row r="47" spans="1:13" x14ac:dyDescent="0.25">
      <c r="A47">
        <v>1047</v>
      </c>
      <c r="B47" s="1">
        <v>46162</v>
      </c>
      <c r="C47" t="s">
        <v>86</v>
      </c>
      <c r="D47" t="s">
        <v>35</v>
      </c>
      <c r="E47" t="s">
        <v>25</v>
      </c>
      <c r="F47" t="s">
        <v>32</v>
      </c>
      <c r="G47" t="s">
        <v>46</v>
      </c>
      <c r="H47">
        <v>9</v>
      </c>
      <c r="I47">
        <v>4928</v>
      </c>
      <c r="J47">
        <v>0</v>
      </c>
      <c r="K47" t="s">
        <v>18</v>
      </c>
      <c r="L47" t="s">
        <v>19</v>
      </c>
      <c r="M47" t="s">
        <v>41</v>
      </c>
    </row>
    <row r="48" spans="1:13" x14ac:dyDescent="0.25">
      <c r="A48">
        <v>1048</v>
      </c>
      <c r="B48" s="1">
        <v>46078</v>
      </c>
      <c r="C48" t="s">
        <v>87</v>
      </c>
      <c r="D48" t="s">
        <v>31</v>
      </c>
      <c r="E48" t="s">
        <v>15</v>
      </c>
      <c r="F48" t="s">
        <v>16</v>
      </c>
      <c r="G48" t="s">
        <v>46</v>
      </c>
      <c r="H48">
        <v>9</v>
      </c>
      <c r="I48">
        <v>1271</v>
      </c>
      <c r="J48">
        <v>15</v>
      </c>
      <c r="K48" t="s">
        <v>22</v>
      </c>
      <c r="L48" t="s">
        <v>19</v>
      </c>
      <c r="M48" t="s">
        <v>48</v>
      </c>
    </row>
    <row r="49" spans="1:13" x14ac:dyDescent="0.25">
      <c r="A49">
        <v>1049</v>
      </c>
      <c r="B49" s="1">
        <v>46052</v>
      </c>
      <c r="C49" t="s">
        <v>88</v>
      </c>
      <c r="D49" t="s">
        <v>43</v>
      </c>
      <c r="E49" t="s">
        <v>15</v>
      </c>
      <c r="F49" t="s">
        <v>16</v>
      </c>
      <c r="G49" t="s">
        <v>40</v>
      </c>
      <c r="H49">
        <v>6</v>
      </c>
      <c r="I49">
        <v>4683</v>
      </c>
      <c r="J49">
        <v>15</v>
      </c>
      <c r="K49" t="s">
        <v>28</v>
      </c>
      <c r="L49" t="s">
        <v>29</v>
      </c>
    </row>
    <row r="50" spans="1:13" x14ac:dyDescent="0.25">
      <c r="A50">
        <v>1050</v>
      </c>
      <c r="B50" s="1">
        <v>46189</v>
      </c>
      <c r="C50" t="s">
        <v>89</v>
      </c>
      <c r="D50" t="s">
        <v>31</v>
      </c>
      <c r="E50" t="s">
        <v>25</v>
      </c>
      <c r="F50" t="s">
        <v>26</v>
      </c>
      <c r="G50" t="s">
        <v>46</v>
      </c>
      <c r="H50">
        <v>7</v>
      </c>
      <c r="I50">
        <v>2360</v>
      </c>
      <c r="J50">
        <v>10</v>
      </c>
      <c r="K50" t="s">
        <v>22</v>
      </c>
      <c r="L50" t="s">
        <v>29</v>
      </c>
      <c r="M50" t="s">
        <v>48</v>
      </c>
    </row>
    <row r="51" spans="1:13" x14ac:dyDescent="0.25">
      <c r="A51">
        <v>1051</v>
      </c>
      <c r="B51" s="1">
        <v>46054</v>
      </c>
      <c r="C51" t="s">
        <v>90</v>
      </c>
      <c r="D51" t="s">
        <v>43</v>
      </c>
      <c r="E51" t="s">
        <v>25</v>
      </c>
      <c r="F51" t="s">
        <v>26</v>
      </c>
      <c r="G51" t="s">
        <v>46</v>
      </c>
      <c r="H51">
        <v>10</v>
      </c>
      <c r="I51">
        <v>385</v>
      </c>
      <c r="J51">
        <v>0</v>
      </c>
      <c r="K51" t="s">
        <v>28</v>
      </c>
      <c r="L51" t="s">
        <v>29</v>
      </c>
    </row>
    <row r="52" spans="1:13" x14ac:dyDescent="0.25">
      <c r="A52">
        <v>1052</v>
      </c>
      <c r="B52" s="1">
        <v>46110</v>
      </c>
      <c r="C52" t="s">
        <v>91</v>
      </c>
      <c r="D52" t="s">
        <v>43</v>
      </c>
      <c r="E52" t="s">
        <v>25</v>
      </c>
      <c r="F52" t="s">
        <v>26</v>
      </c>
      <c r="G52" t="s">
        <v>17</v>
      </c>
      <c r="H52">
        <v>5</v>
      </c>
      <c r="I52">
        <v>1649</v>
      </c>
      <c r="J52">
        <v>5</v>
      </c>
      <c r="K52" t="s">
        <v>18</v>
      </c>
      <c r="L52" t="s">
        <v>29</v>
      </c>
      <c r="M52" t="s">
        <v>48</v>
      </c>
    </row>
    <row r="53" spans="1:13" x14ac:dyDescent="0.25">
      <c r="A53">
        <v>1053</v>
      </c>
      <c r="B53" s="1">
        <v>46033</v>
      </c>
      <c r="C53" t="s">
        <v>92</v>
      </c>
      <c r="D53" t="s">
        <v>24</v>
      </c>
      <c r="E53" t="s">
        <v>36</v>
      </c>
      <c r="F53" t="s">
        <v>37</v>
      </c>
      <c r="G53" t="s">
        <v>17</v>
      </c>
      <c r="H53">
        <v>7</v>
      </c>
      <c r="I53">
        <v>4810</v>
      </c>
      <c r="J53">
        <v>0</v>
      </c>
      <c r="K53" t="s">
        <v>22</v>
      </c>
      <c r="L53" t="s">
        <v>33</v>
      </c>
      <c r="M53" t="s">
        <v>48</v>
      </c>
    </row>
    <row r="54" spans="1:13" x14ac:dyDescent="0.25">
      <c r="A54">
        <v>1054</v>
      </c>
      <c r="B54" s="1">
        <v>46146</v>
      </c>
      <c r="C54" t="s">
        <v>93</v>
      </c>
      <c r="D54" t="s">
        <v>24</v>
      </c>
      <c r="E54" t="s">
        <v>25</v>
      </c>
      <c r="F54" t="s">
        <v>32</v>
      </c>
      <c r="G54" t="s">
        <v>27</v>
      </c>
      <c r="H54">
        <v>7</v>
      </c>
      <c r="I54">
        <v>1749</v>
      </c>
      <c r="J54">
        <v>15</v>
      </c>
      <c r="K54" t="s">
        <v>18</v>
      </c>
      <c r="L54" t="s">
        <v>19</v>
      </c>
      <c r="M54" t="s">
        <v>48</v>
      </c>
    </row>
    <row r="55" spans="1:13" x14ac:dyDescent="0.25">
      <c r="A55">
        <v>1055</v>
      </c>
      <c r="B55" s="1">
        <v>46203</v>
      </c>
      <c r="C55" t="s">
        <v>94</v>
      </c>
      <c r="D55" t="s">
        <v>43</v>
      </c>
      <c r="E55" t="s">
        <v>15</v>
      </c>
      <c r="F55" t="s">
        <v>16</v>
      </c>
      <c r="G55" t="s">
        <v>46</v>
      </c>
      <c r="H55">
        <v>8</v>
      </c>
      <c r="I55">
        <v>1461</v>
      </c>
      <c r="J55">
        <v>10</v>
      </c>
      <c r="K55" t="s">
        <v>22</v>
      </c>
      <c r="L55" t="s">
        <v>33</v>
      </c>
    </row>
    <row r="56" spans="1:13" x14ac:dyDescent="0.25">
      <c r="A56">
        <v>1056</v>
      </c>
      <c r="B56" s="1">
        <v>46066</v>
      </c>
      <c r="C56" t="s">
        <v>95</v>
      </c>
      <c r="D56" t="s">
        <v>35</v>
      </c>
      <c r="E56" t="s">
        <v>25</v>
      </c>
      <c r="F56" t="s">
        <v>32</v>
      </c>
      <c r="G56" t="s">
        <v>17</v>
      </c>
      <c r="H56">
        <v>1</v>
      </c>
      <c r="I56">
        <v>941</v>
      </c>
      <c r="J56">
        <v>0</v>
      </c>
      <c r="K56" t="s">
        <v>22</v>
      </c>
      <c r="L56" t="s">
        <v>19</v>
      </c>
    </row>
    <row r="57" spans="1:13" x14ac:dyDescent="0.25">
      <c r="A57">
        <v>1057</v>
      </c>
      <c r="B57" s="1">
        <v>46163</v>
      </c>
      <c r="C57" t="s">
        <v>96</v>
      </c>
      <c r="D57" t="s">
        <v>43</v>
      </c>
      <c r="E57" t="s">
        <v>25</v>
      </c>
      <c r="F57" t="s">
        <v>26</v>
      </c>
      <c r="G57" t="s">
        <v>17</v>
      </c>
      <c r="H57">
        <v>3</v>
      </c>
      <c r="I57">
        <v>1245</v>
      </c>
      <c r="J57">
        <v>0</v>
      </c>
      <c r="K57" t="s">
        <v>22</v>
      </c>
      <c r="L57" t="s">
        <v>33</v>
      </c>
    </row>
    <row r="58" spans="1:13" x14ac:dyDescent="0.25">
      <c r="A58">
        <v>1058</v>
      </c>
      <c r="B58" s="1">
        <v>46096</v>
      </c>
      <c r="C58" t="s">
        <v>97</v>
      </c>
      <c r="D58" t="s">
        <v>43</v>
      </c>
      <c r="E58" t="s">
        <v>25</v>
      </c>
      <c r="F58" t="s">
        <v>32</v>
      </c>
      <c r="G58" t="s">
        <v>46</v>
      </c>
      <c r="H58">
        <v>5</v>
      </c>
      <c r="I58">
        <v>3559</v>
      </c>
      <c r="J58">
        <v>5</v>
      </c>
      <c r="K58" t="s">
        <v>28</v>
      </c>
      <c r="L58" t="s">
        <v>33</v>
      </c>
      <c r="M58" t="s">
        <v>20</v>
      </c>
    </row>
    <row r="59" spans="1:13" x14ac:dyDescent="0.25">
      <c r="A59">
        <v>1059</v>
      </c>
      <c r="B59" s="1">
        <v>46081</v>
      </c>
      <c r="C59" t="s">
        <v>98</v>
      </c>
      <c r="D59" t="s">
        <v>24</v>
      </c>
      <c r="E59" t="s">
        <v>15</v>
      </c>
      <c r="F59" t="s">
        <v>16</v>
      </c>
      <c r="G59" t="s">
        <v>46</v>
      </c>
      <c r="H59">
        <v>4</v>
      </c>
      <c r="I59">
        <v>1204</v>
      </c>
      <c r="J59">
        <v>10</v>
      </c>
      <c r="K59" t="s">
        <v>28</v>
      </c>
      <c r="L59" t="s">
        <v>29</v>
      </c>
      <c r="M59" t="s">
        <v>48</v>
      </c>
    </row>
    <row r="60" spans="1:13" x14ac:dyDescent="0.25">
      <c r="A60">
        <v>1060</v>
      </c>
      <c r="B60" s="1">
        <v>46045</v>
      </c>
      <c r="C60" t="s">
        <v>99</v>
      </c>
      <c r="D60" t="s">
        <v>31</v>
      </c>
      <c r="E60" t="s">
        <v>15</v>
      </c>
      <c r="F60" t="s">
        <v>16</v>
      </c>
      <c r="G60" t="s">
        <v>27</v>
      </c>
      <c r="H60">
        <v>10</v>
      </c>
      <c r="I60">
        <v>435</v>
      </c>
      <c r="J60">
        <v>10</v>
      </c>
      <c r="K60" t="s">
        <v>22</v>
      </c>
      <c r="L60" t="s">
        <v>19</v>
      </c>
      <c r="M60" t="s">
        <v>48</v>
      </c>
    </row>
    <row r="61" spans="1:13" x14ac:dyDescent="0.25">
      <c r="A61">
        <v>1061</v>
      </c>
      <c r="B61" s="1">
        <v>46074</v>
      </c>
      <c r="C61" t="s">
        <v>100</v>
      </c>
      <c r="D61" t="s">
        <v>24</v>
      </c>
      <c r="E61" t="s">
        <v>25</v>
      </c>
      <c r="F61" t="s">
        <v>26</v>
      </c>
      <c r="G61" t="s">
        <v>46</v>
      </c>
      <c r="H61">
        <v>4</v>
      </c>
      <c r="I61">
        <v>4428</v>
      </c>
      <c r="J61">
        <v>0</v>
      </c>
      <c r="K61" t="s">
        <v>28</v>
      </c>
      <c r="L61" t="s">
        <v>33</v>
      </c>
    </row>
    <row r="62" spans="1:13" x14ac:dyDescent="0.25">
      <c r="A62">
        <v>1062</v>
      </c>
      <c r="B62" s="1">
        <v>46067</v>
      </c>
      <c r="C62" t="s">
        <v>101</v>
      </c>
      <c r="D62" t="s">
        <v>35</v>
      </c>
      <c r="E62" t="s">
        <v>15</v>
      </c>
      <c r="F62" t="s">
        <v>45</v>
      </c>
      <c r="G62" t="s">
        <v>40</v>
      </c>
      <c r="H62">
        <v>4</v>
      </c>
      <c r="I62">
        <v>2146</v>
      </c>
      <c r="J62">
        <v>5</v>
      </c>
      <c r="K62" t="s">
        <v>28</v>
      </c>
      <c r="L62" t="s">
        <v>33</v>
      </c>
      <c r="M62" t="s">
        <v>48</v>
      </c>
    </row>
    <row r="63" spans="1:13" x14ac:dyDescent="0.25">
      <c r="A63">
        <v>1063</v>
      </c>
      <c r="B63" s="1">
        <v>46092</v>
      </c>
      <c r="C63" t="s">
        <v>102</v>
      </c>
      <c r="D63" t="s">
        <v>24</v>
      </c>
      <c r="E63" t="s">
        <v>36</v>
      </c>
      <c r="F63" t="s">
        <v>37</v>
      </c>
      <c r="G63" t="s">
        <v>27</v>
      </c>
      <c r="H63">
        <v>4</v>
      </c>
      <c r="I63">
        <v>1168</v>
      </c>
      <c r="J63">
        <v>15</v>
      </c>
      <c r="K63" t="s">
        <v>28</v>
      </c>
      <c r="L63" t="s">
        <v>29</v>
      </c>
    </row>
    <row r="64" spans="1:13" x14ac:dyDescent="0.25">
      <c r="A64">
        <v>1064</v>
      </c>
      <c r="B64" s="1">
        <v>46059</v>
      </c>
      <c r="C64" t="s">
        <v>103</v>
      </c>
      <c r="D64" t="s">
        <v>24</v>
      </c>
      <c r="E64" t="s">
        <v>36</v>
      </c>
      <c r="F64" t="s">
        <v>39</v>
      </c>
      <c r="G64" t="s">
        <v>46</v>
      </c>
      <c r="H64">
        <v>6</v>
      </c>
      <c r="I64">
        <v>4798</v>
      </c>
      <c r="J64">
        <v>10</v>
      </c>
      <c r="K64" t="s">
        <v>28</v>
      </c>
      <c r="L64" t="s">
        <v>33</v>
      </c>
      <c r="M64" t="s">
        <v>20</v>
      </c>
    </row>
    <row r="65" spans="1:13" x14ac:dyDescent="0.25">
      <c r="A65">
        <v>1065</v>
      </c>
      <c r="B65" s="1">
        <v>46082</v>
      </c>
      <c r="C65" t="s">
        <v>104</v>
      </c>
      <c r="D65" t="s">
        <v>43</v>
      </c>
      <c r="E65" t="s">
        <v>36</v>
      </c>
      <c r="F65" t="s">
        <v>54</v>
      </c>
      <c r="G65" t="s">
        <v>27</v>
      </c>
      <c r="H65">
        <v>3</v>
      </c>
      <c r="I65">
        <v>2000</v>
      </c>
      <c r="J65">
        <v>10</v>
      </c>
      <c r="K65" t="s">
        <v>28</v>
      </c>
      <c r="L65" t="s">
        <v>33</v>
      </c>
    </row>
    <row r="66" spans="1:13" x14ac:dyDescent="0.25">
      <c r="A66">
        <v>1066</v>
      </c>
      <c r="B66" s="1">
        <v>46115</v>
      </c>
      <c r="C66" t="s">
        <v>105</v>
      </c>
      <c r="D66" t="s">
        <v>24</v>
      </c>
      <c r="E66" t="s">
        <v>15</v>
      </c>
      <c r="F66" t="s">
        <v>45</v>
      </c>
      <c r="G66" t="s">
        <v>40</v>
      </c>
      <c r="H66">
        <v>4</v>
      </c>
      <c r="I66">
        <v>3282</v>
      </c>
      <c r="J66">
        <v>15</v>
      </c>
      <c r="K66" t="s">
        <v>28</v>
      </c>
      <c r="L66" t="s">
        <v>29</v>
      </c>
      <c r="M66" t="s">
        <v>48</v>
      </c>
    </row>
    <row r="67" spans="1:13" x14ac:dyDescent="0.25">
      <c r="A67">
        <v>1067</v>
      </c>
      <c r="B67" s="1">
        <v>46067</v>
      </c>
      <c r="C67" t="s">
        <v>106</v>
      </c>
      <c r="D67" t="s">
        <v>35</v>
      </c>
      <c r="E67" t="s">
        <v>15</v>
      </c>
      <c r="F67" t="s">
        <v>45</v>
      </c>
      <c r="G67" t="s">
        <v>17</v>
      </c>
      <c r="H67">
        <v>6</v>
      </c>
      <c r="I67">
        <v>584</v>
      </c>
      <c r="J67">
        <v>15</v>
      </c>
      <c r="K67" t="s">
        <v>18</v>
      </c>
      <c r="L67" t="s">
        <v>33</v>
      </c>
      <c r="M67" t="s">
        <v>41</v>
      </c>
    </row>
    <row r="68" spans="1:13" x14ac:dyDescent="0.25">
      <c r="A68">
        <v>1068</v>
      </c>
      <c r="B68" s="1">
        <v>46032</v>
      </c>
      <c r="C68" t="s">
        <v>107</v>
      </c>
      <c r="D68" t="s">
        <v>35</v>
      </c>
      <c r="E68" t="s">
        <v>25</v>
      </c>
      <c r="F68" t="s">
        <v>26</v>
      </c>
      <c r="G68" t="s">
        <v>17</v>
      </c>
      <c r="H68">
        <v>2</v>
      </c>
      <c r="I68">
        <v>1798</v>
      </c>
      <c r="J68">
        <v>10</v>
      </c>
      <c r="K68" t="s">
        <v>22</v>
      </c>
      <c r="L68" t="s">
        <v>29</v>
      </c>
    </row>
    <row r="69" spans="1:13" x14ac:dyDescent="0.25">
      <c r="A69">
        <v>1069</v>
      </c>
      <c r="B69" s="1">
        <v>46061</v>
      </c>
      <c r="C69" t="s">
        <v>108</v>
      </c>
      <c r="D69" t="s">
        <v>14</v>
      </c>
      <c r="E69" t="s">
        <v>15</v>
      </c>
      <c r="F69" t="s">
        <v>16</v>
      </c>
      <c r="G69" t="s">
        <v>17</v>
      </c>
      <c r="H69">
        <v>6</v>
      </c>
      <c r="I69">
        <v>3099</v>
      </c>
      <c r="J69">
        <v>5</v>
      </c>
      <c r="K69" t="s">
        <v>28</v>
      </c>
      <c r="L69" t="s">
        <v>33</v>
      </c>
      <c r="M69" t="s">
        <v>20</v>
      </c>
    </row>
    <row r="70" spans="1:13" x14ac:dyDescent="0.25">
      <c r="A70">
        <v>1070</v>
      </c>
      <c r="B70" s="1">
        <v>46161</v>
      </c>
      <c r="C70" t="s">
        <v>109</v>
      </c>
      <c r="D70" t="s">
        <v>24</v>
      </c>
      <c r="E70" t="s">
        <v>15</v>
      </c>
      <c r="F70" t="s">
        <v>45</v>
      </c>
      <c r="G70" t="s">
        <v>46</v>
      </c>
      <c r="H70">
        <v>3</v>
      </c>
      <c r="I70">
        <v>1879</v>
      </c>
      <c r="J70">
        <v>10</v>
      </c>
      <c r="K70" t="s">
        <v>28</v>
      </c>
      <c r="L70" t="s">
        <v>29</v>
      </c>
      <c r="M70" t="s">
        <v>20</v>
      </c>
    </row>
    <row r="71" spans="1:13" x14ac:dyDescent="0.25">
      <c r="A71">
        <v>1071</v>
      </c>
      <c r="B71" s="1">
        <v>46029</v>
      </c>
      <c r="C71" t="s">
        <v>110</v>
      </c>
      <c r="D71" t="s">
        <v>14</v>
      </c>
      <c r="E71" t="s">
        <v>15</v>
      </c>
      <c r="F71" t="s">
        <v>16</v>
      </c>
      <c r="G71" t="s">
        <v>40</v>
      </c>
      <c r="H71">
        <v>9</v>
      </c>
      <c r="I71">
        <v>930</v>
      </c>
      <c r="J71">
        <v>0</v>
      </c>
      <c r="K71" t="s">
        <v>28</v>
      </c>
      <c r="L71" t="s">
        <v>29</v>
      </c>
      <c r="M71" t="s">
        <v>20</v>
      </c>
    </row>
    <row r="72" spans="1:13" x14ac:dyDescent="0.25">
      <c r="A72">
        <v>1072</v>
      </c>
      <c r="B72" s="1">
        <v>46181</v>
      </c>
      <c r="C72" t="s">
        <v>111</v>
      </c>
      <c r="D72" t="s">
        <v>43</v>
      </c>
      <c r="E72" t="s">
        <v>25</v>
      </c>
      <c r="F72" t="s">
        <v>32</v>
      </c>
      <c r="G72" t="s">
        <v>17</v>
      </c>
      <c r="H72">
        <v>6</v>
      </c>
      <c r="I72">
        <v>4713</v>
      </c>
      <c r="J72">
        <v>0</v>
      </c>
      <c r="K72" t="s">
        <v>28</v>
      </c>
      <c r="L72" t="s">
        <v>33</v>
      </c>
      <c r="M72" t="s">
        <v>20</v>
      </c>
    </row>
    <row r="73" spans="1:13" x14ac:dyDescent="0.25">
      <c r="A73">
        <v>1073</v>
      </c>
      <c r="B73" s="1">
        <v>46186</v>
      </c>
      <c r="C73" t="s">
        <v>112</v>
      </c>
      <c r="D73" t="s">
        <v>24</v>
      </c>
      <c r="E73" t="s">
        <v>25</v>
      </c>
      <c r="F73" t="s">
        <v>26</v>
      </c>
      <c r="G73" t="s">
        <v>17</v>
      </c>
      <c r="H73">
        <v>2</v>
      </c>
      <c r="I73">
        <v>3055</v>
      </c>
      <c r="J73">
        <v>5</v>
      </c>
      <c r="K73" t="s">
        <v>22</v>
      </c>
      <c r="L73" t="s">
        <v>29</v>
      </c>
      <c r="M73" t="s">
        <v>41</v>
      </c>
    </row>
    <row r="74" spans="1:13" x14ac:dyDescent="0.25">
      <c r="A74">
        <v>1074</v>
      </c>
      <c r="B74" s="1">
        <v>46180</v>
      </c>
      <c r="C74" t="s">
        <v>113</v>
      </c>
      <c r="D74" t="s">
        <v>35</v>
      </c>
      <c r="E74" t="s">
        <v>15</v>
      </c>
      <c r="F74" t="s">
        <v>16</v>
      </c>
      <c r="G74" t="s">
        <v>46</v>
      </c>
      <c r="H74">
        <v>5</v>
      </c>
      <c r="I74">
        <v>993</v>
      </c>
      <c r="J74">
        <v>5</v>
      </c>
      <c r="K74" t="s">
        <v>18</v>
      </c>
      <c r="L74" t="s">
        <v>33</v>
      </c>
      <c r="M74" t="s">
        <v>48</v>
      </c>
    </row>
    <row r="75" spans="1:13" x14ac:dyDescent="0.25">
      <c r="A75">
        <v>1075</v>
      </c>
      <c r="B75" s="1">
        <v>46110</v>
      </c>
      <c r="C75" t="s">
        <v>114</v>
      </c>
      <c r="D75" t="s">
        <v>14</v>
      </c>
      <c r="E75" t="s">
        <v>25</v>
      </c>
      <c r="F75" t="s">
        <v>26</v>
      </c>
      <c r="G75" t="s">
        <v>17</v>
      </c>
      <c r="H75">
        <v>2</v>
      </c>
      <c r="I75">
        <v>4128</v>
      </c>
      <c r="J75">
        <v>0</v>
      </c>
      <c r="K75" t="s">
        <v>18</v>
      </c>
      <c r="L75" t="s">
        <v>33</v>
      </c>
    </row>
    <row r="76" spans="1:13" x14ac:dyDescent="0.25">
      <c r="A76">
        <v>1076</v>
      </c>
      <c r="B76" s="1">
        <v>46193</v>
      </c>
      <c r="C76" t="s">
        <v>115</v>
      </c>
      <c r="D76" t="s">
        <v>31</v>
      </c>
      <c r="E76" t="s">
        <v>15</v>
      </c>
      <c r="F76" t="s">
        <v>16</v>
      </c>
      <c r="G76" t="s">
        <v>46</v>
      </c>
      <c r="H76">
        <v>4</v>
      </c>
      <c r="I76">
        <v>4162</v>
      </c>
      <c r="J76">
        <v>10</v>
      </c>
      <c r="K76" t="s">
        <v>22</v>
      </c>
      <c r="L76" t="s">
        <v>19</v>
      </c>
      <c r="M76" t="s">
        <v>41</v>
      </c>
    </row>
    <row r="77" spans="1:13" x14ac:dyDescent="0.25">
      <c r="A77">
        <v>1077</v>
      </c>
      <c r="B77" s="1">
        <v>46095</v>
      </c>
      <c r="C77" t="s">
        <v>116</v>
      </c>
      <c r="D77" t="s">
        <v>24</v>
      </c>
      <c r="E77" t="s">
        <v>15</v>
      </c>
      <c r="F77" t="s">
        <v>45</v>
      </c>
      <c r="G77" t="s">
        <v>27</v>
      </c>
      <c r="H77">
        <v>8</v>
      </c>
      <c r="I77">
        <v>3138</v>
      </c>
      <c r="J77">
        <v>0</v>
      </c>
      <c r="K77" t="s">
        <v>22</v>
      </c>
      <c r="L77" t="s">
        <v>29</v>
      </c>
      <c r="M77" t="s">
        <v>48</v>
      </c>
    </row>
    <row r="78" spans="1:13" x14ac:dyDescent="0.25">
      <c r="A78">
        <v>1078</v>
      </c>
      <c r="B78" s="1">
        <v>46194</v>
      </c>
      <c r="C78" t="s">
        <v>117</v>
      </c>
      <c r="D78" t="s">
        <v>24</v>
      </c>
      <c r="E78" t="s">
        <v>25</v>
      </c>
      <c r="F78" t="s">
        <v>26</v>
      </c>
      <c r="G78" t="s">
        <v>27</v>
      </c>
      <c r="H78">
        <v>3</v>
      </c>
      <c r="I78">
        <v>1393</v>
      </c>
      <c r="J78">
        <v>5</v>
      </c>
      <c r="K78" t="s">
        <v>28</v>
      </c>
      <c r="L78" t="s">
        <v>29</v>
      </c>
      <c r="M78" t="s">
        <v>48</v>
      </c>
    </row>
    <row r="79" spans="1:13" x14ac:dyDescent="0.25">
      <c r="A79">
        <v>1079</v>
      </c>
      <c r="B79" s="1">
        <v>46073</v>
      </c>
      <c r="C79" t="s">
        <v>118</v>
      </c>
      <c r="D79" t="s">
        <v>14</v>
      </c>
      <c r="E79" t="s">
        <v>25</v>
      </c>
      <c r="F79" t="s">
        <v>26</v>
      </c>
      <c r="G79" t="s">
        <v>46</v>
      </c>
      <c r="H79">
        <v>9</v>
      </c>
      <c r="I79">
        <v>4425</v>
      </c>
      <c r="J79">
        <v>0</v>
      </c>
      <c r="K79" t="s">
        <v>28</v>
      </c>
      <c r="L79" t="s">
        <v>19</v>
      </c>
      <c r="M79" t="s">
        <v>48</v>
      </c>
    </row>
    <row r="80" spans="1:13" x14ac:dyDescent="0.25">
      <c r="A80">
        <v>1080</v>
      </c>
      <c r="B80" s="1">
        <v>46131</v>
      </c>
      <c r="C80" t="s">
        <v>119</v>
      </c>
      <c r="D80" t="s">
        <v>43</v>
      </c>
      <c r="E80" t="s">
        <v>36</v>
      </c>
      <c r="F80" t="s">
        <v>39</v>
      </c>
      <c r="G80" t="s">
        <v>17</v>
      </c>
      <c r="H80">
        <v>4</v>
      </c>
      <c r="I80">
        <v>4656</v>
      </c>
      <c r="J80">
        <v>0</v>
      </c>
      <c r="K80" t="s">
        <v>22</v>
      </c>
      <c r="L80" t="s">
        <v>19</v>
      </c>
      <c r="M80" t="s">
        <v>48</v>
      </c>
    </row>
    <row r="81" spans="1:13" x14ac:dyDescent="0.25">
      <c r="A81">
        <v>1081</v>
      </c>
      <c r="B81" s="1">
        <v>46035</v>
      </c>
      <c r="C81" t="s">
        <v>120</v>
      </c>
      <c r="D81" t="s">
        <v>35</v>
      </c>
      <c r="E81" t="s">
        <v>36</v>
      </c>
      <c r="F81" t="s">
        <v>39</v>
      </c>
      <c r="G81" t="s">
        <v>17</v>
      </c>
      <c r="H81">
        <v>1</v>
      </c>
      <c r="I81">
        <v>1513</v>
      </c>
      <c r="J81">
        <v>0</v>
      </c>
      <c r="K81" t="s">
        <v>22</v>
      </c>
      <c r="L81" t="s">
        <v>29</v>
      </c>
      <c r="M81" t="s">
        <v>20</v>
      </c>
    </row>
    <row r="82" spans="1:13" x14ac:dyDescent="0.25">
      <c r="A82">
        <v>1082</v>
      </c>
      <c r="B82" s="1">
        <v>46111</v>
      </c>
      <c r="C82" t="s">
        <v>121</v>
      </c>
      <c r="D82" t="s">
        <v>31</v>
      </c>
      <c r="E82" t="s">
        <v>25</v>
      </c>
      <c r="F82" t="s">
        <v>26</v>
      </c>
      <c r="G82" t="s">
        <v>17</v>
      </c>
      <c r="H82">
        <v>10</v>
      </c>
      <c r="I82">
        <v>2508</v>
      </c>
      <c r="J82">
        <v>15</v>
      </c>
      <c r="K82" t="s">
        <v>28</v>
      </c>
      <c r="L82" t="s">
        <v>19</v>
      </c>
      <c r="M82" t="s">
        <v>48</v>
      </c>
    </row>
    <row r="83" spans="1:13" x14ac:dyDescent="0.25">
      <c r="A83">
        <v>1083</v>
      </c>
      <c r="B83" s="1">
        <v>46085</v>
      </c>
      <c r="C83" t="s">
        <v>122</v>
      </c>
      <c r="D83" t="s">
        <v>24</v>
      </c>
      <c r="E83" t="s">
        <v>36</v>
      </c>
      <c r="F83" t="s">
        <v>37</v>
      </c>
      <c r="G83" t="s">
        <v>40</v>
      </c>
      <c r="H83">
        <v>2</v>
      </c>
      <c r="I83">
        <v>2555</v>
      </c>
      <c r="J83">
        <v>0</v>
      </c>
      <c r="K83" t="s">
        <v>22</v>
      </c>
      <c r="L83" t="s">
        <v>19</v>
      </c>
    </row>
    <row r="84" spans="1:13" x14ac:dyDescent="0.25">
      <c r="A84">
        <v>1084</v>
      </c>
      <c r="B84" s="1">
        <v>46078</v>
      </c>
      <c r="C84" t="s">
        <v>123</v>
      </c>
      <c r="D84" t="s">
        <v>43</v>
      </c>
      <c r="E84" t="s">
        <v>36</v>
      </c>
      <c r="F84" t="s">
        <v>37</v>
      </c>
      <c r="G84" t="s">
        <v>27</v>
      </c>
      <c r="H84">
        <v>6</v>
      </c>
      <c r="I84">
        <v>3179</v>
      </c>
      <c r="J84">
        <v>5</v>
      </c>
      <c r="K84" t="s">
        <v>22</v>
      </c>
      <c r="L84" t="s">
        <v>29</v>
      </c>
      <c r="M84" t="s">
        <v>48</v>
      </c>
    </row>
    <row r="85" spans="1:13" x14ac:dyDescent="0.25">
      <c r="A85">
        <v>1085</v>
      </c>
      <c r="B85" s="1">
        <v>46082</v>
      </c>
      <c r="C85" t="s">
        <v>124</v>
      </c>
      <c r="D85" t="s">
        <v>35</v>
      </c>
      <c r="E85" t="s">
        <v>15</v>
      </c>
      <c r="F85" t="s">
        <v>45</v>
      </c>
      <c r="G85" t="s">
        <v>27</v>
      </c>
      <c r="H85">
        <v>3</v>
      </c>
      <c r="I85">
        <v>2462</v>
      </c>
      <c r="J85">
        <v>5</v>
      </c>
      <c r="K85" t="s">
        <v>22</v>
      </c>
      <c r="L85" t="s">
        <v>33</v>
      </c>
      <c r="M85" t="s">
        <v>41</v>
      </c>
    </row>
    <row r="86" spans="1:13" x14ac:dyDescent="0.25">
      <c r="A86">
        <v>1086</v>
      </c>
      <c r="B86" s="1">
        <v>46120</v>
      </c>
      <c r="C86" t="s">
        <v>125</v>
      </c>
      <c r="D86" t="s">
        <v>24</v>
      </c>
      <c r="E86" t="s">
        <v>36</v>
      </c>
      <c r="F86" t="s">
        <v>37</v>
      </c>
      <c r="G86" t="s">
        <v>40</v>
      </c>
      <c r="H86">
        <v>2</v>
      </c>
      <c r="I86">
        <v>4560</v>
      </c>
      <c r="J86">
        <v>0</v>
      </c>
      <c r="K86" t="s">
        <v>28</v>
      </c>
      <c r="L86" t="s">
        <v>29</v>
      </c>
      <c r="M86" t="s">
        <v>48</v>
      </c>
    </row>
    <row r="87" spans="1:13" x14ac:dyDescent="0.25">
      <c r="A87">
        <v>1087</v>
      </c>
      <c r="B87" s="1">
        <v>46028</v>
      </c>
      <c r="C87" t="s">
        <v>126</v>
      </c>
      <c r="D87" t="s">
        <v>14</v>
      </c>
      <c r="E87" t="s">
        <v>36</v>
      </c>
      <c r="F87" t="s">
        <v>54</v>
      </c>
      <c r="G87" t="s">
        <v>46</v>
      </c>
      <c r="H87">
        <v>6</v>
      </c>
      <c r="I87">
        <v>3102</v>
      </c>
      <c r="J87">
        <v>5</v>
      </c>
      <c r="K87" t="s">
        <v>22</v>
      </c>
      <c r="L87" t="s">
        <v>29</v>
      </c>
      <c r="M87" t="s">
        <v>48</v>
      </c>
    </row>
    <row r="88" spans="1:13" x14ac:dyDescent="0.25">
      <c r="A88">
        <v>1088</v>
      </c>
      <c r="B88" s="1">
        <v>46094</v>
      </c>
      <c r="C88" t="s">
        <v>127</v>
      </c>
      <c r="D88" t="s">
        <v>35</v>
      </c>
      <c r="E88" t="s">
        <v>25</v>
      </c>
      <c r="F88" t="s">
        <v>32</v>
      </c>
      <c r="G88" t="s">
        <v>46</v>
      </c>
      <c r="H88">
        <v>2</v>
      </c>
      <c r="I88">
        <v>3298</v>
      </c>
      <c r="J88">
        <v>0</v>
      </c>
      <c r="K88" t="s">
        <v>28</v>
      </c>
      <c r="L88" t="s">
        <v>29</v>
      </c>
    </row>
    <row r="89" spans="1:13" x14ac:dyDescent="0.25">
      <c r="A89">
        <v>1089</v>
      </c>
      <c r="B89" s="1">
        <v>46049</v>
      </c>
      <c r="C89" t="s">
        <v>128</v>
      </c>
      <c r="D89" t="s">
        <v>35</v>
      </c>
      <c r="E89" t="s">
        <v>15</v>
      </c>
      <c r="F89" t="s">
        <v>16</v>
      </c>
      <c r="G89" t="s">
        <v>46</v>
      </c>
      <c r="H89">
        <v>6</v>
      </c>
      <c r="I89">
        <v>2909</v>
      </c>
      <c r="J89">
        <v>15</v>
      </c>
      <c r="K89" t="s">
        <v>28</v>
      </c>
      <c r="L89" t="s">
        <v>19</v>
      </c>
      <c r="M89" t="s">
        <v>20</v>
      </c>
    </row>
    <row r="90" spans="1:13" x14ac:dyDescent="0.25">
      <c r="A90">
        <v>1090</v>
      </c>
      <c r="B90" s="1">
        <v>46088</v>
      </c>
      <c r="C90" t="s">
        <v>129</v>
      </c>
      <c r="D90" t="s">
        <v>31</v>
      </c>
      <c r="E90" t="s">
        <v>36</v>
      </c>
      <c r="F90" t="s">
        <v>54</v>
      </c>
      <c r="G90" t="s">
        <v>27</v>
      </c>
      <c r="H90">
        <v>1</v>
      </c>
      <c r="I90">
        <v>1957</v>
      </c>
      <c r="J90">
        <v>10</v>
      </c>
      <c r="K90" t="s">
        <v>22</v>
      </c>
      <c r="L90" t="s">
        <v>19</v>
      </c>
      <c r="M90" t="s">
        <v>41</v>
      </c>
    </row>
    <row r="91" spans="1:13" x14ac:dyDescent="0.25">
      <c r="A91">
        <v>1091</v>
      </c>
      <c r="B91" s="1">
        <v>46025</v>
      </c>
      <c r="C91" t="s">
        <v>130</v>
      </c>
      <c r="D91" t="s">
        <v>14</v>
      </c>
      <c r="E91" t="s">
        <v>15</v>
      </c>
      <c r="F91" t="s">
        <v>16</v>
      </c>
      <c r="G91" t="s">
        <v>17</v>
      </c>
      <c r="H91">
        <v>2</v>
      </c>
      <c r="I91">
        <v>1703</v>
      </c>
      <c r="J91">
        <v>10</v>
      </c>
      <c r="K91" t="s">
        <v>22</v>
      </c>
      <c r="L91" t="s">
        <v>19</v>
      </c>
    </row>
    <row r="92" spans="1:13" x14ac:dyDescent="0.25">
      <c r="A92">
        <v>1092</v>
      </c>
      <c r="B92" s="1">
        <v>46142</v>
      </c>
      <c r="C92" t="s">
        <v>131</v>
      </c>
      <c r="D92" t="s">
        <v>14</v>
      </c>
      <c r="E92" t="s">
        <v>15</v>
      </c>
      <c r="F92" t="s">
        <v>16</v>
      </c>
      <c r="G92" t="s">
        <v>46</v>
      </c>
      <c r="H92">
        <v>7</v>
      </c>
      <c r="I92">
        <v>1418</v>
      </c>
      <c r="J92">
        <v>5</v>
      </c>
      <c r="K92" t="s">
        <v>22</v>
      </c>
      <c r="L92" t="s">
        <v>33</v>
      </c>
    </row>
    <row r="93" spans="1:13" x14ac:dyDescent="0.25">
      <c r="A93">
        <v>1093</v>
      </c>
      <c r="B93" s="1">
        <v>46122</v>
      </c>
      <c r="C93" t="s">
        <v>132</v>
      </c>
      <c r="D93" t="s">
        <v>35</v>
      </c>
      <c r="E93" t="s">
        <v>15</v>
      </c>
      <c r="F93" t="s">
        <v>45</v>
      </c>
      <c r="G93" t="s">
        <v>17</v>
      </c>
      <c r="H93">
        <v>5</v>
      </c>
      <c r="I93">
        <v>4271</v>
      </c>
      <c r="J93">
        <v>0</v>
      </c>
      <c r="K93" t="s">
        <v>22</v>
      </c>
      <c r="L93" t="s">
        <v>29</v>
      </c>
      <c r="M93" t="s">
        <v>41</v>
      </c>
    </row>
    <row r="94" spans="1:13" x14ac:dyDescent="0.25">
      <c r="A94">
        <v>1094</v>
      </c>
      <c r="B94" s="1">
        <v>46148</v>
      </c>
      <c r="C94" t="s">
        <v>133</v>
      </c>
      <c r="D94" t="s">
        <v>35</v>
      </c>
      <c r="E94" t="s">
        <v>36</v>
      </c>
      <c r="F94" t="s">
        <v>37</v>
      </c>
      <c r="G94" t="s">
        <v>17</v>
      </c>
      <c r="H94">
        <v>1</v>
      </c>
      <c r="I94">
        <v>666</v>
      </c>
      <c r="J94">
        <v>15</v>
      </c>
      <c r="K94" t="s">
        <v>22</v>
      </c>
      <c r="L94" t="s">
        <v>29</v>
      </c>
      <c r="M94" t="s">
        <v>20</v>
      </c>
    </row>
    <row r="95" spans="1:13" x14ac:dyDescent="0.25">
      <c r="A95">
        <v>1095</v>
      </c>
      <c r="B95" s="1">
        <v>46124</v>
      </c>
      <c r="C95" t="s">
        <v>134</v>
      </c>
      <c r="D95" t="s">
        <v>14</v>
      </c>
      <c r="E95" t="s">
        <v>25</v>
      </c>
      <c r="F95" t="s">
        <v>26</v>
      </c>
      <c r="G95" t="s">
        <v>46</v>
      </c>
      <c r="H95">
        <v>6</v>
      </c>
      <c r="I95">
        <v>2059</v>
      </c>
      <c r="J95">
        <v>5</v>
      </c>
      <c r="K95" t="s">
        <v>28</v>
      </c>
      <c r="L95" t="s">
        <v>29</v>
      </c>
      <c r="M95" t="s">
        <v>20</v>
      </c>
    </row>
    <row r="96" spans="1:13" x14ac:dyDescent="0.25">
      <c r="A96">
        <v>1096</v>
      </c>
      <c r="B96" s="1">
        <v>46138</v>
      </c>
      <c r="C96" t="s">
        <v>135</v>
      </c>
      <c r="D96" t="s">
        <v>43</v>
      </c>
      <c r="E96" t="s">
        <v>15</v>
      </c>
      <c r="F96" t="s">
        <v>16</v>
      </c>
      <c r="G96" t="s">
        <v>17</v>
      </c>
      <c r="H96">
        <v>4</v>
      </c>
      <c r="I96">
        <v>1564</v>
      </c>
      <c r="J96">
        <v>0</v>
      </c>
      <c r="K96" t="s">
        <v>28</v>
      </c>
      <c r="L96" t="s">
        <v>33</v>
      </c>
      <c r="M96" t="s">
        <v>41</v>
      </c>
    </row>
    <row r="97" spans="1:13" x14ac:dyDescent="0.25">
      <c r="A97">
        <v>1097</v>
      </c>
      <c r="B97" s="1">
        <v>46166</v>
      </c>
      <c r="C97" t="s">
        <v>136</v>
      </c>
      <c r="D97" t="s">
        <v>14</v>
      </c>
      <c r="E97" t="s">
        <v>15</v>
      </c>
      <c r="F97" t="s">
        <v>16</v>
      </c>
      <c r="G97" t="s">
        <v>40</v>
      </c>
      <c r="H97">
        <v>10</v>
      </c>
      <c r="I97">
        <v>1447</v>
      </c>
      <c r="J97">
        <v>5</v>
      </c>
      <c r="K97" t="s">
        <v>28</v>
      </c>
      <c r="L97" t="s">
        <v>33</v>
      </c>
      <c r="M97" t="s">
        <v>20</v>
      </c>
    </row>
    <row r="98" spans="1:13" x14ac:dyDescent="0.25">
      <c r="A98">
        <v>1098</v>
      </c>
      <c r="B98" s="1">
        <v>46094</v>
      </c>
      <c r="C98" t="s">
        <v>137</v>
      </c>
      <c r="D98" t="s">
        <v>31</v>
      </c>
      <c r="E98" t="s">
        <v>15</v>
      </c>
      <c r="F98" t="s">
        <v>45</v>
      </c>
      <c r="G98" t="s">
        <v>40</v>
      </c>
      <c r="H98">
        <v>7</v>
      </c>
      <c r="I98">
        <v>3739</v>
      </c>
      <c r="J98">
        <v>0</v>
      </c>
      <c r="K98" t="s">
        <v>22</v>
      </c>
      <c r="L98" t="s">
        <v>29</v>
      </c>
      <c r="M98" t="s">
        <v>20</v>
      </c>
    </row>
    <row r="99" spans="1:13" x14ac:dyDescent="0.25">
      <c r="A99">
        <v>1099</v>
      </c>
      <c r="B99" s="1">
        <v>46072</v>
      </c>
      <c r="C99" t="s">
        <v>138</v>
      </c>
      <c r="D99" t="s">
        <v>31</v>
      </c>
      <c r="E99" t="s">
        <v>25</v>
      </c>
      <c r="F99" t="s">
        <v>26</v>
      </c>
      <c r="G99" t="s">
        <v>46</v>
      </c>
      <c r="H99">
        <v>1</v>
      </c>
      <c r="I99">
        <v>4096</v>
      </c>
      <c r="J99">
        <v>10</v>
      </c>
      <c r="K99" t="s">
        <v>18</v>
      </c>
      <c r="L99" t="s">
        <v>29</v>
      </c>
      <c r="M99" t="s">
        <v>48</v>
      </c>
    </row>
    <row r="100" spans="1:13" x14ac:dyDescent="0.25">
      <c r="A100">
        <v>1100</v>
      </c>
      <c r="B100" s="1">
        <v>46059</v>
      </c>
      <c r="C100" t="s">
        <v>139</v>
      </c>
      <c r="D100" t="s">
        <v>14</v>
      </c>
      <c r="E100" t="s">
        <v>25</v>
      </c>
      <c r="F100" t="s">
        <v>26</v>
      </c>
      <c r="G100" t="s">
        <v>40</v>
      </c>
      <c r="H100">
        <v>8</v>
      </c>
      <c r="I100">
        <v>3693</v>
      </c>
      <c r="J100">
        <v>10</v>
      </c>
      <c r="K100" t="s">
        <v>28</v>
      </c>
      <c r="L100" t="s">
        <v>19</v>
      </c>
      <c r="M100" t="s">
        <v>41</v>
      </c>
    </row>
    <row r="101" spans="1:13" x14ac:dyDescent="0.25">
      <c r="A101">
        <v>1101</v>
      </c>
      <c r="B101" s="1">
        <v>46151</v>
      </c>
      <c r="C101" t="s">
        <v>140</v>
      </c>
      <c r="D101" t="s">
        <v>31</v>
      </c>
      <c r="E101" t="s">
        <v>15</v>
      </c>
      <c r="F101" t="s">
        <v>16</v>
      </c>
      <c r="G101" t="s">
        <v>40</v>
      </c>
      <c r="H101">
        <v>1</v>
      </c>
      <c r="I101">
        <v>3604</v>
      </c>
      <c r="J101">
        <v>10</v>
      </c>
      <c r="K101" t="s">
        <v>18</v>
      </c>
      <c r="L101" t="s">
        <v>29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1BD71E-F53E-4794-8250-43FE24DDB4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DASHBORD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ajukkty@gmail.com</cp:lastModifiedBy>
  <dcterms:created xsi:type="dcterms:W3CDTF">2026-08-04T08:16:15Z</dcterms:created>
  <dcterms:modified xsi:type="dcterms:W3CDTF">2026-08-05T14:01:02Z</dcterms:modified>
</cp:coreProperties>
</file>