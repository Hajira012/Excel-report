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esktop\aju\"/>
    </mc:Choice>
  </mc:AlternateContent>
  <xr:revisionPtr revIDLastSave="0" documentId="8_{0F6AA563-9788-4899-9C0E-3412A68A5779}" xr6:coauthVersionLast="47" xr6:coauthVersionMax="47" xr10:uidLastSave="{00000000-0000-0000-0000-000000000000}"/>
  <bookViews>
    <workbookView xWindow="-120" yWindow="-120" windowWidth="20730" windowHeight="11160" xr2:uid="{6E8D716A-CC3D-47EE-B9C5-99AF7377E2B0}"/>
  </bookViews>
  <sheets>
    <sheet name="DASHBOARD" sheetId="1" r:id="rId1"/>
    <sheet name="CONTENTS" sheetId="2" r:id="rId2"/>
  </sheets>
  <definedNames>
    <definedName name="Slicer_City">#N/A</definedName>
    <definedName name="Slicer_Vehicle_Type">#N/A</definedName>
  </definedNames>
  <calcPr calcId="191029"/>
  <pivotCaches>
    <pivotCache cacheId="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 i="2" l="1"/>
  <c r="C6" i="2"/>
  <c r="C5" i="2"/>
  <c r="C4" i="2"/>
  <c r="C2" i="2"/>
</calcChain>
</file>

<file path=xl/sharedStrings.xml><?xml version="1.0" encoding="utf-8"?>
<sst xmlns="http://schemas.openxmlformats.org/spreadsheetml/2006/main" count="421" uniqueCount="122">
  <si>
    <t>Ride_ID</t>
  </si>
  <si>
    <t>Date</t>
  </si>
  <si>
    <t>City</t>
  </si>
  <si>
    <t>Vehicle_Type</t>
  </si>
  <si>
    <t>Trip_Type</t>
  </si>
  <si>
    <t>Customer_Type</t>
  </si>
  <si>
    <t>Payment_Mode</t>
  </si>
  <si>
    <t>Distance_KM</t>
  </si>
  <si>
    <t>Fare_INR</t>
  </si>
  <si>
    <t>Discount_INR</t>
  </si>
  <si>
    <t>Driver_Rating</t>
  </si>
  <si>
    <t>Customer_Rating</t>
  </si>
  <si>
    <t>Trip_Duration_Min</t>
  </si>
  <si>
    <t>Status</t>
  </si>
  <si>
    <t>UBR001</t>
  </si>
  <si>
    <t>Bengaluru</t>
  </si>
  <si>
    <t>UberGo</t>
  </si>
  <si>
    <t>Regular</t>
  </si>
  <si>
    <t>UPI</t>
  </si>
  <si>
    <t>Completed</t>
  </si>
  <si>
    <t>UBR002</t>
  </si>
  <si>
    <t>Mumbai</t>
  </si>
  <si>
    <t>New</t>
  </si>
  <si>
    <t>Card</t>
  </si>
  <si>
    <t>UBR003</t>
  </si>
  <si>
    <t>Delhi</t>
  </si>
  <si>
    <t>UberXL</t>
  </si>
  <si>
    <t>Airport</t>
  </si>
  <si>
    <t>UBR004</t>
  </si>
  <si>
    <t>Hyderabad</t>
  </si>
  <si>
    <t>Cash</t>
  </si>
  <si>
    <t>UBR005</t>
  </si>
  <si>
    <t>Chennai</t>
  </si>
  <si>
    <t>Premier</t>
  </si>
  <si>
    <t>Premium</t>
  </si>
  <si>
    <t>UBR006</t>
  </si>
  <si>
    <t>Pune</t>
  </si>
  <si>
    <t>UBR007</t>
  </si>
  <si>
    <t>Auto</t>
  </si>
  <si>
    <t>UBR008</t>
  </si>
  <si>
    <t>UBR009</t>
  </si>
  <si>
    <t>UBR010</t>
  </si>
  <si>
    <t>Kochi</t>
  </si>
  <si>
    <t>UBR011</t>
  </si>
  <si>
    <t>UBR012</t>
  </si>
  <si>
    <t>UBR013</t>
  </si>
  <si>
    <t>UBR014</t>
  </si>
  <si>
    <t>UBR015</t>
  </si>
  <si>
    <t>UBR016</t>
  </si>
  <si>
    <t>UBR017</t>
  </si>
  <si>
    <t>Cancelled</t>
  </si>
  <si>
    <t>UBR018</t>
  </si>
  <si>
    <t>UBR019</t>
  </si>
  <si>
    <t>UBR020</t>
  </si>
  <si>
    <t>UBR021</t>
  </si>
  <si>
    <t>UBR022</t>
  </si>
  <si>
    <t>UBR023</t>
  </si>
  <si>
    <t>UBR024</t>
  </si>
  <si>
    <t>UBR025</t>
  </si>
  <si>
    <t>UBR026</t>
  </si>
  <si>
    <t>UBR027</t>
  </si>
  <si>
    <t>UBR028</t>
  </si>
  <si>
    <t>UBR029</t>
  </si>
  <si>
    <t>UBR030</t>
  </si>
  <si>
    <t>UBR031</t>
  </si>
  <si>
    <t>UBR032</t>
  </si>
  <si>
    <t>UBR033</t>
  </si>
  <si>
    <t>UBR034</t>
  </si>
  <si>
    <t>UBR035</t>
  </si>
  <si>
    <t>UBR036</t>
  </si>
  <si>
    <t>UBR037</t>
  </si>
  <si>
    <t>UBR038</t>
  </si>
  <si>
    <t>UBR039</t>
  </si>
  <si>
    <t>UBR040</t>
  </si>
  <si>
    <t>UBR041</t>
  </si>
  <si>
    <t>UBR042</t>
  </si>
  <si>
    <t>UBR043</t>
  </si>
  <si>
    <t>UBR044</t>
  </si>
  <si>
    <t>UBR045</t>
  </si>
  <si>
    <t>UBR046</t>
  </si>
  <si>
    <t>UBR047</t>
  </si>
  <si>
    <t>UBR048</t>
  </si>
  <si>
    <t>UBR049</t>
  </si>
  <si>
    <t>UBR050</t>
  </si>
  <si>
    <t>KPI</t>
  </si>
  <si>
    <t>Calculation</t>
  </si>
  <si>
    <t>Total Rides</t>
  </si>
  <si>
    <t>Count of Ride_ID</t>
  </si>
  <si>
    <t>Completed Rides</t>
  </si>
  <si>
    <t>Count where Status = Completed</t>
  </si>
  <si>
    <t>Total Revenue</t>
  </si>
  <si>
    <t>Sum of Fare_INR</t>
  </si>
  <si>
    <t>Average Fare</t>
  </si>
  <si>
    <t>Average of Fare_INR</t>
  </si>
  <si>
    <t>Average Customer Rating</t>
  </si>
  <si>
    <t>Average of Customer_Rating</t>
  </si>
  <si>
    <t>Chart</t>
  </si>
  <si>
    <t>Fields</t>
  </si>
  <si>
    <t>Revenue by City</t>
  </si>
  <si>
    <t>City + Fare</t>
  </si>
  <si>
    <t>Rides by Vehicle Type</t>
  </si>
  <si>
    <t>Vehicle_Type + Count of Ride_ID</t>
  </si>
  <si>
    <t>Daily Revenue Trend</t>
  </si>
  <si>
    <t>Date + Fare</t>
  </si>
  <si>
    <t>Payment Mode Distribution</t>
  </si>
  <si>
    <t>Payment_Mode + Count of Ride_ID</t>
  </si>
  <si>
    <t>Revenue by Trip Type</t>
  </si>
  <si>
    <t>Trip_Type + Fare</t>
  </si>
  <si>
    <t>Customer Type Distribution</t>
  </si>
  <si>
    <t>Customer_Type + Count of Ride_ID</t>
  </si>
  <si>
    <t>Average Rating by Vehicle</t>
  </si>
  <si>
    <t>Vehicle_Type + Customer_Rating</t>
  </si>
  <si>
    <t>Completed vs Cancelled</t>
  </si>
  <si>
    <t>Status + Count of Ride_ID</t>
  </si>
  <si>
    <t>Recommended Slicers</t>
  </si>
  <si>
    <t>Vehicle Type</t>
  </si>
  <si>
    <t>Trip Type</t>
  </si>
  <si>
    <t>Customer Type</t>
  </si>
  <si>
    <t>Payment Mode</t>
  </si>
  <si>
    <t>answers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</si>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</sst>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2" fillId="2" borderId="1" xfId="0" applyFont="1" applyFill="1" applyBorder="1" applyAlignment="1">
      <alignment vertical="center"/>
    </xf>
    <xf numFmtId="0" fontId="0" fillId="2" borderId="1" xfId="0" applyFill="1" applyBorder="1" applyAlignment="1">
      <alignment horizontal="left" vertical="center" inden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1" fillId="2" borderId="2" xfId="0" applyFont="1" applyFill="1" applyBorder="1" applyAlignment="1">
      <alignment horizontal="center" vertical="center" wrapText="1"/>
    </xf>
    <xf numFmtId="0" fontId="0" fillId="2" borderId="2" xfId="0" applyFill="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15" fontId="0" fillId="0" borderId="0" xfId="0" applyNumberFormat="1" applyAlignment="1">
      <alignment horizontal="left"/>
    </xf>
  </cellXfs>
  <cellStyles count="1">
    <cellStyle name="Normal" xfId="0" builtinId="0"/>
  </cellStyles>
  <dxfs count="17">
    <dxf>
      <border outline="0">
        <left style="thin">
          <color indexed="64"/>
        </left>
      </border>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[UBER_DASHBOARD (2).xlsx]DASHBOARD!PivotTable1</c:name>
    <c:fmtId val="0"/>
  </c:pivotSource>
  <c:chart>
    <c:title>
      <c:tx>
        <c:rich>
          <a:bodyPr rot="0" spcFirstLastPara="1" vertOverflow="ellipsis" vert="horz" wrap="square" anchor="ctr" anchorCtr="1"/>
          <a:lstStyle/>
          <a:p>
            <a:pPr>
              <a:defRPr sz="1800" b="1" i="0" u="none" strike="noStrike" kern="1200" cap="all" spc="50" baseline="0">
                <a:solidFill>
                  <a:schemeClr val="accent4">
                    <a:lumMod val="50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4">
                  <a:lumMod val="50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DASHBOARD!$Q$3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DASHBOARD!$P$4:$P$5</c:f>
              <c:strCache>
                <c:ptCount val="1"/>
                <c:pt idx="0">
                  <c:v>Kochi</c:v>
                </c:pt>
              </c:strCache>
            </c:strRef>
          </c:cat>
          <c:val>
            <c:numRef>
              <c:f>DASHBOARD!$Q$4:$Q$5</c:f>
              <c:numCache>
                <c:formatCode>General</c:formatCode>
                <c:ptCount val="1"/>
                <c:pt idx="0">
                  <c:v>1865</c:v>
                </c:pt>
              </c:numCache>
            </c:numRef>
          </c:val>
          <c:extLst>
            <c:ext xmlns:c16="http://schemas.microsoft.com/office/drawing/2014/chart" uri="{C3380CC4-5D6E-409C-BE32-E72D297353CC}">
              <c16:uniqueId val="{00000000-ABB8-4777-B4C4-E7B4B5F2775E}"/>
            </c:ext>
          </c:extLst>
        </c:ser>
        <c:dLbls>
          <c:showLegendKey val="0"/>
          <c:showVal val="0"/>
          <c:showCatName val="0"/>
          <c:showSerName val="0"/>
          <c:showPercent val="0"/>
          <c:showBubbleSize val="0"/>
        </c:dLbls>
        <c:gapWidth val="150"/>
        <c:gapDepth val="0"/>
        <c:shape val="box"/>
        <c:axId val="412035768"/>
        <c:axId val="412025328"/>
        <c:axId val="0"/>
      </c:bar3DChart>
      <c:catAx>
        <c:axId val="412035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412025328"/>
        <c:crosses val="autoZero"/>
        <c:auto val="1"/>
        <c:lblAlgn val="ctr"/>
        <c:lblOffset val="100"/>
        <c:noMultiLvlLbl val="0"/>
      </c:catAx>
      <c:valAx>
        <c:axId val="41202532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412035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4">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[UBER_DASHBOARD (2).xlsx]DASHBOARD!PivotTable2</c:name>
    <c:fmtId val="0"/>
  </c:pivotSource>
  <c:chart>
    <c:title>
      <c:tx>
        <c:rich>
          <a:bodyPr rot="0" spcFirstLastPara="1" vertOverflow="ellipsis" vert="horz" wrap="square" anchor="ctr" anchorCtr="1"/>
          <a:lstStyle/>
          <a:p>
            <a:pPr>
              <a:defRPr sz="1800" b="1" i="0" u="none" strike="noStrike" kern="1200" cap="all" baseline="0">
                <a:solidFill>
                  <a:schemeClr val="accent6">
                    <a:lumMod val="75000"/>
                  </a:schemeClr>
                </a:solidFill>
                <a:latin typeface="+mn-lt"/>
                <a:ea typeface="+mn-ea"/>
                <a:cs typeface="+mn-cs"/>
              </a:defRPr>
            </a:pPr>
            <a:r>
              <a:rPr lang="en-US"/>
              <a:t>RIDES BY VEHICAL TYPE</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circle"/>
          <c:size val="6"/>
        </c:marker>
        <c:dLbl>
          <c:idx val="0"/>
          <c:spPr>
            <a:solidFill>
              <a:sysClr val="window" lastClr="FFFFFF">
                <a:alpha val="90000"/>
              </a:sysClr>
            </a:solidFill>
            <a:ln w="12700" cap="flat" cmpd="sng" algn="ctr">
              <a:solidFill>
                <a:srgbClr val="4EA72E"/>
              </a:solidFill>
              <a:round/>
            </a:ln>
            <a:effectLst>
              <a:outerShdw blurRad="50800" dist="38100" dir="2700000" algn="tl" rotWithShape="0">
                <a:srgbClr val="4EA72E">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5000"/>
                    </a:schemeClr>
                  </a:solidFill>
                  <a:effectLst/>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6">
              <a:tint val="77000"/>
              <a:alpha val="90000"/>
            </a:schemeClr>
          </a:solidFill>
          <a:ln w="19050">
            <a:solidFill>
              <a:schemeClr val="accent6">
                <a:tint val="77000"/>
                <a:lumMod val="75000"/>
              </a:schemeClr>
            </a:solidFill>
          </a:ln>
          <a:effectLst>
            <a:innerShdw blurRad="114300">
              <a:schemeClr val="accent6">
                <a:tint val="77000"/>
                <a:lumMod val="75000"/>
              </a:schemeClr>
            </a:innerShdw>
          </a:effectLst>
          <a:scene3d>
            <a:camera prst="orthographicFront"/>
            <a:lightRig rig="threePt" dir="t"/>
          </a:scene3d>
          <a:sp3d contourW="19050" prstMaterial="flat">
            <a:contourClr>
              <a:schemeClr val="accent6">
                <a:tint val="77000"/>
                <a:lumMod val="75000"/>
              </a:schemeClr>
            </a:contourClr>
          </a:sp3d>
        </c:spPr>
        <c:dLbl>
          <c:idx val="0"/>
          <c:spPr>
            <a:solidFill>
              <a:sysClr val="window" lastClr="FFFFFF">
                <a:alpha val="90000"/>
              </a:sysClr>
            </a:solidFill>
            <a:ln w="12700" cap="flat" cmpd="sng" algn="ctr">
              <a:solidFill>
                <a:srgbClr val="4EA72E"/>
              </a:solidFill>
              <a:round/>
            </a:ln>
            <a:effectLst>
              <a:outerShdw blurRad="50800" dist="38100" dir="2700000" algn="tl" rotWithShape="0">
                <a:srgbClr val="4EA72E">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5000"/>
                    </a:schemeClr>
                  </a:solidFill>
                  <a:effectLst/>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6">
              <a:shade val="76000"/>
              <a:alpha val="90000"/>
            </a:schemeClr>
          </a:solidFill>
          <a:ln w="19050">
            <a:solidFill>
              <a:schemeClr val="accent6">
                <a:shade val="76000"/>
                <a:lumMod val="75000"/>
              </a:schemeClr>
            </a:solidFill>
          </a:ln>
          <a:effectLst>
            <a:innerShdw blurRad="114300">
              <a:schemeClr val="accent6">
                <a:shade val="76000"/>
                <a:lumMod val="75000"/>
              </a:schemeClr>
            </a:innerShdw>
          </a:effectLst>
          <a:scene3d>
            <a:camera prst="orthographicFront"/>
            <a:lightRig rig="threePt" dir="t"/>
          </a:scene3d>
          <a:sp3d contourW="19050" prstMaterial="flat">
            <a:contourClr>
              <a:schemeClr val="accent6">
                <a:shade val="76000"/>
                <a:lumMod val="75000"/>
              </a:schemeClr>
            </a:contourClr>
          </a:sp3d>
        </c:spPr>
        <c:dLbl>
          <c:idx val="0"/>
          <c:spPr>
            <a:solidFill>
              <a:sysClr val="window" lastClr="FFFFFF">
                <a:alpha val="90000"/>
              </a:sysClr>
            </a:solidFill>
            <a:ln w="12700" cap="flat" cmpd="sng" algn="ctr">
              <a:solidFill>
                <a:srgbClr val="4EA72E"/>
              </a:solidFill>
              <a:round/>
            </a:ln>
            <a:effectLst>
              <a:outerShdw blurRad="50800" dist="38100" dir="2700000" algn="tl" rotWithShape="0">
                <a:srgbClr val="4EA72E">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5000"/>
                    </a:schemeClr>
                  </a:solidFill>
                  <a:effectLst/>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DASHBOARD!$Q$12</c:f>
              <c:strCache>
                <c:ptCount val="1"/>
                <c:pt idx="0">
                  <c:v>Total</c:v>
                </c:pt>
              </c:strCache>
            </c:strRef>
          </c:tx>
          <c:dPt>
            <c:idx val="0"/>
            <c:bubble3D val="0"/>
            <c:spPr>
              <a:solidFill>
                <a:schemeClr val="accent6">
                  <a:tint val="77000"/>
                  <a:alpha val="90000"/>
                </a:schemeClr>
              </a:solidFill>
              <a:ln w="19050">
                <a:solidFill>
                  <a:schemeClr val="accent6">
                    <a:tint val="77000"/>
                    <a:lumMod val="75000"/>
                  </a:schemeClr>
                </a:solidFill>
              </a:ln>
              <a:effectLst>
                <a:innerShdw blurRad="114300">
                  <a:schemeClr val="accent6">
                    <a:tint val="77000"/>
                    <a:lumMod val="75000"/>
                  </a:schemeClr>
                </a:innerShdw>
              </a:effectLst>
              <a:scene3d>
                <a:camera prst="orthographicFront"/>
                <a:lightRig rig="threePt" dir="t"/>
              </a:scene3d>
              <a:sp3d contourW="19050" prstMaterial="flat">
                <a:contourClr>
                  <a:schemeClr val="accent6">
                    <a:tint val="77000"/>
                    <a:lumMod val="75000"/>
                  </a:schemeClr>
                </a:contourClr>
              </a:sp3d>
            </c:spPr>
            <c:extLst>
              <c:ext xmlns:c16="http://schemas.microsoft.com/office/drawing/2014/chart" uri="{C3380CC4-5D6E-409C-BE32-E72D297353CC}">
                <c16:uniqueId val="{00000002-FD7A-4626-941E-833721C2E940}"/>
              </c:ext>
            </c:extLst>
          </c:dPt>
          <c:dPt>
            <c:idx val="1"/>
            <c:bubble3D val="0"/>
            <c:spPr>
              <a:solidFill>
                <a:schemeClr val="accent6">
                  <a:shade val="76000"/>
                  <a:alpha val="90000"/>
                </a:schemeClr>
              </a:solidFill>
              <a:ln w="19050">
                <a:solidFill>
                  <a:schemeClr val="accent6">
                    <a:shade val="76000"/>
                    <a:lumMod val="75000"/>
                  </a:schemeClr>
                </a:solidFill>
              </a:ln>
              <a:effectLst>
                <a:innerShdw blurRad="114300">
                  <a:schemeClr val="accent6">
                    <a:shade val="76000"/>
                    <a:lumMod val="75000"/>
                  </a:schemeClr>
                </a:innerShdw>
              </a:effectLst>
              <a:scene3d>
                <a:camera prst="orthographicFront"/>
                <a:lightRig rig="threePt" dir="t"/>
              </a:scene3d>
              <a:sp3d contourW="19050" prstMaterial="flat">
                <a:contourClr>
                  <a:schemeClr val="accent6">
                    <a:shade val="76000"/>
                    <a:lumMod val="75000"/>
                  </a:schemeClr>
                </a:contourClr>
              </a:sp3d>
            </c:spPr>
            <c:extLst>
              <c:ext xmlns:c16="http://schemas.microsoft.com/office/drawing/2014/chart" uri="{C3380CC4-5D6E-409C-BE32-E72D297353CC}">
                <c16:uniqueId val="{00000003-FD7A-4626-941E-833721C2E940}"/>
              </c:ext>
            </c:extLst>
          </c:dPt>
          <c:dLbls>
            <c:spPr>
              <a:solidFill>
                <a:sysClr val="window" lastClr="FFFFFF">
                  <a:alpha val="90000"/>
                </a:sysClr>
              </a:solidFill>
              <a:ln w="12700" cap="flat" cmpd="sng" algn="ctr">
                <a:solidFill>
                  <a:srgbClr val="4EA72E"/>
                </a:solidFill>
                <a:round/>
              </a:ln>
              <a:effectLst>
                <a:outerShdw blurRad="50800" dist="38100" dir="2700000" algn="tl" rotWithShape="0">
                  <a:srgbClr val="4EA72E">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5000"/>
                      </a:schemeClr>
                    </a:solidFill>
                    <a:effectLst/>
                    <a:latin typeface="+mn-lt"/>
                    <a:ea typeface="+mn-ea"/>
                    <a:cs typeface="+mn-cs"/>
                  </a:defRPr>
                </a:pPr>
                <a:endParaRPr lang="en-US"/>
              </a:p>
            </c:txPr>
            <c:dLblPos val="ctr"/>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DASHBOARD!$P$13:$P$15</c:f>
              <c:strCache>
                <c:ptCount val="2"/>
                <c:pt idx="0">
                  <c:v>Premier</c:v>
                </c:pt>
                <c:pt idx="1">
                  <c:v>UberXL</c:v>
                </c:pt>
              </c:strCache>
            </c:strRef>
          </c:cat>
          <c:val>
            <c:numRef>
              <c:f>DASHBOARD!$Q$13:$Q$15</c:f>
              <c:numCache>
                <c:formatCode>General</c:formatCode>
                <c:ptCount val="2"/>
                <c:pt idx="0">
                  <c:v>8</c:v>
                </c:pt>
                <c:pt idx="1">
                  <c:v>8</c:v>
                </c:pt>
              </c:numCache>
            </c:numRef>
          </c:val>
          <c:extLst>
            <c:ext xmlns:c16="http://schemas.microsoft.com/office/drawing/2014/chart" uri="{C3380CC4-5D6E-409C-BE32-E72D297353CC}">
              <c16:uniqueId val="{00000000-FD7A-4626-941E-833721C2E940}"/>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[UBER_DASHBOARD (2).xlsx]DASHBOARD!PivotTable3</c:name>
    <c:fmtId val="0"/>
  </c:pivotSource>
  <c:chart>
    <c:title>
      <c:tx>
        <c:rich>
          <a:bodyPr rot="0" spcFirstLastPara="1" vertOverflow="ellipsis" vert="horz" wrap="square" anchor="ctr" anchorCtr="1"/>
          <a:lstStyle/>
          <a:p>
            <a:pPr>
              <a:defRPr sz="1800" b="1" i="0" u="none" strike="noStrike" kern="1200" cap="all" spc="150" baseline="0">
                <a:solidFill>
                  <a:schemeClr val="accent2">
                    <a:lumMod val="50000"/>
                  </a:schemeClr>
                </a:solidFill>
                <a:latin typeface="+mn-lt"/>
                <a:ea typeface="+mn-ea"/>
                <a:cs typeface="+mn-cs"/>
              </a:defRPr>
            </a:pPr>
            <a:r>
              <a:rPr lang="en-US"/>
              <a:t>DAILY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accent2">
                  <a:lumMod val="50000"/>
                </a:schemeClr>
              </a:solidFill>
              <a:latin typeface="+mn-lt"/>
              <a:ea typeface="+mn-ea"/>
              <a:cs typeface="+mn-cs"/>
            </a:defRPr>
          </a:pPr>
          <a:endParaRPr lang="en-US"/>
        </a:p>
      </c:txPr>
    </c:title>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DASHBOARD!$Q$21</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DASHBOARD!$P$22:$P$31</c:f>
              <c:strCache>
                <c:ptCount val="9"/>
                <c:pt idx="0">
                  <c:v>1-Aug-26</c:v>
                </c:pt>
                <c:pt idx="1">
                  <c:v>2-Aug-26</c:v>
                </c:pt>
                <c:pt idx="2">
                  <c:v>3-Aug-26</c:v>
                </c:pt>
                <c:pt idx="3">
                  <c:v>4-Aug-26</c:v>
                </c:pt>
                <c:pt idx="4">
                  <c:v>5-Aug-26</c:v>
                </c:pt>
                <c:pt idx="5">
                  <c:v>6-Aug-26</c:v>
                </c:pt>
                <c:pt idx="6">
                  <c:v>7-Aug-26</c:v>
                </c:pt>
                <c:pt idx="7">
                  <c:v>8-Aug-26</c:v>
                </c:pt>
                <c:pt idx="8">
                  <c:v>9-Aug-26</c:v>
                </c:pt>
              </c:strCache>
            </c:strRef>
          </c:cat>
          <c:val>
            <c:numRef>
              <c:f>DASHBOARD!$Q$22:$Q$31</c:f>
              <c:numCache>
                <c:formatCode>General</c:formatCode>
                <c:ptCount val="9"/>
                <c:pt idx="0">
                  <c:v>1950</c:v>
                </c:pt>
                <c:pt idx="1">
                  <c:v>2040</c:v>
                </c:pt>
                <c:pt idx="2">
                  <c:v>2215</c:v>
                </c:pt>
                <c:pt idx="3">
                  <c:v>2385</c:v>
                </c:pt>
                <c:pt idx="4">
                  <c:v>1570</c:v>
                </c:pt>
                <c:pt idx="5">
                  <c:v>1965</c:v>
                </c:pt>
                <c:pt idx="6">
                  <c:v>2505</c:v>
                </c:pt>
                <c:pt idx="7">
                  <c:v>2167</c:v>
                </c:pt>
                <c:pt idx="8">
                  <c:v>1245</c:v>
                </c:pt>
              </c:numCache>
            </c:numRef>
          </c:val>
          <c:extLst>
            <c:ext xmlns:c16="http://schemas.microsoft.com/office/drawing/2014/chart" uri="{C3380CC4-5D6E-409C-BE32-E72D297353CC}">
              <c16:uniqueId val="{00000000-9DB1-46BB-B865-5DFD470D34AF}"/>
            </c:ext>
          </c:extLst>
        </c:ser>
        <c:dLbls>
          <c:showLegendKey val="0"/>
          <c:showVal val="0"/>
          <c:showCatName val="0"/>
          <c:showSerName val="0"/>
          <c:showPercent val="0"/>
          <c:showBubbleSize val="0"/>
        </c:dLbls>
        <c:gapWidth val="160"/>
        <c:gapDepth val="0"/>
        <c:shape val="box"/>
        <c:axId val="412040088"/>
        <c:axId val="412037208"/>
        <c:axId val="0"/>
      </c:bar3DChart>
      <c:catAx>
        <c:axId val="412040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412037208"/>
        <c:crosses val="autoZero"/>
        <c:auto val="1"/>
        <c:lblAlgn val="ctr"/>
        <c:lblOffset val="100"/>
        <c:noMultiLvlLbl val="0"/>
      </c:catAx>
      <c:valAx>
        <c:axId val="412037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412040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16807</xdr:colOff>
      <xdr:row>2</xdr:row>
      <xdr:rowOff>1119</xdr:rowOff>
    </xdr:from>
    <xdr:to>
      <xdr:col>24</xdr:col>
      <xdr:colOff>352984</xdr:colOff>
      <xdr:row>9</xdr:row>
      <xdr:rowOff>77319</xdr:rowOff>
    </xdr:to>
    <xdr:graphicFrame macro="">
      <xdr:nvGraphicFramePr>
        <xdr:cNvPr id="2" name="Chart 1">
          <a:extLst>
            <a:ext uri="{FF2B5EF4-FFF2-40B4-BE49-F238E27FC236}">
              <a16:creationId xmlns:a16="http://schemas.microsoft.com/office/drawing/2014/main" id="{5C72B8D1-4F1F-861D-4AB6-CF6CE1EF4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347382</xdr:colOff>
      <xdr:row>2</xdr:row>
      <xdr:rowOff>43143</xdr:rowOff>
    </xdr:from>
    <xdr:to>
      <xdr:col>27</xdr:col>
      <xdr:colOff>360829</xdr:colOff>
      <xdr:row>9</xdr:row>
      <xdr:rowOff>43143</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A9FCB33A-F10F-99B2-98E5-81C43FC7AC7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0193000" y="995643"/>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28014</xdr:colOff>
      <xdr:row>10</xdr:row>
      <xdr:rowOff>337296</xdr:rowOff>
    </xdr:from>
    <xdr:to>
      <xdr:col>24</xdr:col>
      <xdr:colOff>364190</xdr:colOff>
      <xdr:row>18</xdr:row>
      <xdr:rowOff>32496</xdr:rowOff>
    </xdr:to>
    <xdr:graphicFrame macro="">
      <xdr:nvGraphicFramePr>
        <xdr:cNvPr id="4" name="Chart 3">
          <a:extLst>
            <a:ext uri="{FF2B5EF4-FFF2-40B4-BE49-F238E27FC236}">
              <a16:creationId xmlns:a16="http://schemas.microsoft.com/office/drawing/2014/main" id="{015DC078-6DB6-475A-C2AF-D433A321B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392765</xdr:colOff>
      <xdr:row>10</xdr:row>
      <xdr:rowOff>356907</xdr:rowOff>
    </xdr:from>
    <xdr:to>
      <xdr:col>27</xdr:col>
      <xdr:colOff>406212</xdr:colOff>
      <xdr:row>17</xdr:row>
      <xdr:rowOff>356907</xdr:rowOff>
    </xdr:to>
    <mc:AlternateContent xmlns:mc="http://schemas.openxmlformats.org/markup-compatibility/2006">
      <mc:Choice xmlns:a14="http://schemas.microsoft.com/office/drawing/2010/main" Requires="a14">
        <xdr:graphicFrame macro="">
          <xdr:nvGraphicFramePr>
            <xdr:cNvPr id="5" name="Vehicle_Type">
              <a:extLst>
                <a:ext uri="{FF2B5EF4-FFF2-40B4-BE49-F238E27FC236}">
                  <a16:creationId xmlns:a16="http://schemas.microsoft.com/office/drawing/2014/main" id="{4661DC1A-B727-1A8C-F094-A921B2FE2550}"/>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dr:sp macro="" textlink="">
          <xdr:nvSpPr>
            <xdr:cNvPr id="0" name=""/>
            <xdr:cNvSpPr>
              <a:spLocks noTextEdit="1"/>
            </xdr:cNvSpPr>
          </xdr:nvSpPr>
          <xdr:spPr>
            <a:xfrm>
              <a:off x="20238383" y="4357407"/>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16808</xdr:colOff>
      <xdr:row>19</xdr:row>
      <xdr:rowOff>359707</xdr:rowOff>
    </xdr:from>
    <xdr:to>
      <xdr:col>24</xdr:col>
      <xdr:colOff>352985</xdr:colOff>
      <xdr:row>27</xdr:row>
      <xdr:rowOff>54907</xdr:rowOff>
    </xdr:to>
    <xdr:graphicFrame macro="">
      <xdr:nvGraphicFramePr>
        <xdr:cNvPr id="6" name="Chart 5">
          <a:extLst>
            <a:ext uri="{FF2B5EF4-FFF2-40B4-BE49-F238E27FC236}">
              <a16:creationId xmlns:a16="http://schemas.microsoft.com/office/drawing/2014/main" id="{3FDF2451-7375-A8FC-0CE8-8F8712513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4.457090162039" createdVersion="8" refreshedVersion="8" minRefreshableVersion="3" recordCount="50" xr:uid="{E6EC85FC-82F3-452E-83FC-77513D69FA9F}">
  <cacheSource type="worksheet">
    <worksheetSource name="Table1"/>
  </cacheSource>
  <cacheFields count="14">
    <cacheField name="Ride_ID" numFmtId="0">
      <sharedItems/>
    </cacheField>
    <cacheField name="Date" numFmtId="15">
      <sharedItems containsSemiMixedTypes="0" containsNonDate="0" containsDate="1" containsString="0" minDate="2026-08-01T00:00:00" maxDate="2026-08-10T00:00:00" count="9">
        <d v="2026-08-01T00:00:00"/>
        <d v="2026-08-02T00:00:00"/>
        <d v="2026-08-03T00:00:00"/>
        <d v="2026-08-04T00:00:00"/>
        <d v="2026-08-05T00:00:00"/>
        <d v="2026-08-06T00:00:00"/>
        <d v="2026-08-07T00:00:00"/>
        <d v="2026-08-08T00:00:00"/>
        <d v="2026-08-09T00:00:00"/>
      </sharedItems>
    </cacheField>
    <cacheField name="City" numFmtId="0">
      <sharedItems count="7">
        <s v="Bengaluru"/>
        <s v="Mumbai"/>
        <s v="Delhi"/>
        <s v="Hyderabad"/>
        <s v="Chennai"/>
        <s v="Pune"/>
        <s v="Kochi"/>
      </sharedItems>
    </cacheField>
    <cacheField name="Vehicle_Type" numFmtId="0">
      <sharedItems count="4">
        <s v="UberGo"/>
        <s v="UberXL"/>
        <s v="Premier"/>
        <s v="Auto"/>
      </sharedItems>
    </cacheField>
    <cacheField name="Trip_Type" numFmtId="0">
      <sharedItems/>
    </cacheField>
    <cacheField name="Customer_Type" numFmtId="0">
      <sharedItems/>
    </cacheField>
    <cacheField name="Payment_Mode" numFmtId="0">
      <sharedItems count="3">
        <s v="UPI"/>
        <s v="Card"/>
        <s v="Cash"/>
      </sharedItems>
    </cacheField>
    <cacheField name="Distance_KM" numFmtId="0">
      <sharedItems containsSemiMixedTypes="0" containsString="0" containsNumber="1" minValue="3.2" maxValue="28.7"/>
    </cacheField>
    <cacheField name="Fare_INR" numFmtId="0">
      <sharedItems containsSemiMixedTypes="0" containsString="0" containsNumber="1" containsInteger="1" minValue="80" maxValue="890"/>
    </cacheField>
    <cacheField name="Discount_INR" numFmtId="0">
      <sharedItems containsSemiMixedTypes="0" containsString="0" containsNumber="1" containsInteger="1" minValue="0" maxValue="100"/>
    </cacheField>
    <cacheField name="Driver_Rating" numFmtId="0">
      <sharedItems containsSemiMixedTypes="0" containsString="0" containsNumber="1" minValue="4.2" maxValue="4.9000000000000004"/>
    </cacheField>
    <cacheField name="Customer_Rating" numFmtId="0">
      <sharedItems containsSemiMixedTypes="0" containsString="0" containsNumber="1" minValue="4" maxValue="4.9000000000000004"/>
    </cacheField>
    <cacheField name="Trip_Duration_Min" numFmtId="0">
      <sharedItems containsSemiMixedTypes="0" containsString="0" containsNumber="1" containsInteger="1" minValue="14" maxValue="67"/>
    </cacheField>
    <cacheField name="Status" numFmtId="0">
      <sharedItems/>
    </cacheField>
  </cacheFields>
  <extLst>
    <ext xmlns:x14="http://schemas.microsoft.com/office/spreadsheetml/2009/9/main" uri="{725AE2AE-9491-48be-B2B4-4EB974FC3084}">
      <x14:pivotCacheDefinition pivotCacheId="1709840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UBR001"/>
    <x v="0"/>
    <x v="0"/>
    <x v="0"/>
    <s v="City"/>
    <s v="Regular"/>
    <x v="0"/>
    <n v="8.5"/>
    <n v="245"/>
    <n v="20"/>
    <n v="4.8"/>
    <n v="4.7"/>
    <n v="28"/>
    <s v="Completed"/>
  </r>
  <r>
    <s v="UBR002"/>
    <x v="0"/>
    <x v="1"/>
    <x v="0"/>
    <s v="City"/>
    <s v="New"/>
    <x v="1"/>
    <n v="12.2"/>
    <n v="385"/>
    <n v="50"/>
    <n v="4.5999999999999996"/>
    <n v="4.5"/>
    <n v="41"/>
    <s v="Completed"/>
  </r>
  <r>
    <s v="UBR003"/>
    <x v="0"/>
    <x v="2"/>
    <x v="1"/>
    <s v="Airport"/>
    <s v="Regular"/>
    <x v="0"/>
    <n v="24.5"/>
    <n v="720"/>
    <n v="80"/>
    <n v="4.9000000000000004"/>
    <n v="4.8"/>
    <n v="55"/>
    <s v="Completed"/>
  </r>
  <r>
    <s v="UBR004"/>
    <x v="0"/>
    <x v="3"/>
    <x v="0"/>
    <s v="City"/>
    <s v="Regular"/>
    <x v="2"/>
    <n v="6.8"/>
    <n v="190"/>
    <n v="0"/>
    <n v="4.5"/>
    <n v="4.5999999999999996"/>
    <n v="22"/>
    <s v="Completed"/>
  </r>
  <r>
    <s v="UBR005"/>
    <x v="0"/>
    <x v="4"/>
    <x v="2"/>
    <s v="City"/>
    <s v="Premium"/>
    <x v="1"/>
    <n v="10.4"/>
    <n v="410"/>
    <n v="30"/>
    <n v="4.9000000000000004"/>
    <n v="4.9000000000000004"/>
    <n v="35"/>
    <s v="Completed"/>
  </r>
  <r>
    <s v="UBR006"/>
    <x v="1"/>
    <x v="5"/>
    <x v="0"/>
    <s v="City"/>
    <s v="New"/>
    <x v="0"/>
    <n v="7.2"/>
    <n v="215"/>
    <n v="25"/>
    <n v="4.7"/>
    <n v="4.4000000000000004"/>
    <n v="25"/>
    <s v="Completed"/>
  </r>
  <r>
    <s v="UBR007"/>
    <x v="1"/>
    <x v="0"/>
    <x v="3"/>
    <s v="City"/>
    <s v="Regular"/>
    <x v="0"/>
    <n v="4.5"/>
    <n v="105"/>
    <n v="10"/>
    <n v="4.5999999999999996"/>
    <n v="4.5"/>
    <n v="18"/>
    <s v="Completed"/>
  </r>
  <r>
    <s v="UBR008"/>
    <x v="1"/>
    <x v="1"/>
    <x v="1"/>
    <s v="Airport"/>
    <s v="Premium"/>
    <x v="1"/>
    <n v="28.7"/>
    <n v="890"/>
    <n v="100"/>
    <n v="4.8"/>
    <n v="4.9000000000000004"/>
    <n v="67"/>
    <s v="Completed"/>
  </r>
  <r>
    <s v="UBR009"/>
    <x v="1"/>
    <x v="2"/>
    <x v="0"/>
    <s v="City"/>
    <s v="Regular"/>
    <x v="2"/>
    <n v="9.8000000000000007"/>
    <n v="290"/>
    <n v="0"/>
    <n v="4.4000000000000004"/>
    <n v="4.2"/>
    <n v="31"/>
    <s v="Completed"/>
  </r>
  <r>
    <s v="UBR010"/>
    <x v="1"/>
    <x v="6"/>
    <x v="0"/>
    <s v="Airport"/>
    <s v="New"/>
    <x v="0"/>
    <n v="18.5"/>
    <n v="540"/>
    <n v="60"/>
    <n v="4.7"/>
    <n v="4.5999999999999996"/>
    <n v="44"/>
    <s v="Completed"/>
  </r>
  <r>
    <s v="UBR011"/>
    <x v="2"/>
    <x v="0"/>
    <x v="2"/>
    <s v="City"/>
    <s v="Premium"/>
    <x v="1"/>
    <n v="14.2"/>
    <n v="560"/>
    <n v="40"/>
    <n v="4.9000000000000004"/>
    <n v="4.8"/>
    <n v="43"/>
    <s v="Completed"/>
  </r>
  <r>
    <s v="UBR012"/>
    <x v="2"/>
    <x v="1"/>
    <x v="0"/>
    <s v="City"/>
    <s v="Regular"/>
    <x v="0"/>
    <n v="5.7"/>
    <n v="175"/>
    <n v="15"/>
    <n v="4.5999999999999996"/>
    <n v="4.7"/>
    <n v="20"/>
    <s v="Completed"/>
  </r>
  <r>
    <s v="UBR013"/>
    <x v="2"/>
    <x v="2"/>
    <x v="3"/>
    <s v="City"/>
    <s v="New"/>
    <x v="2"/>
    <n v="3.8"/>
    <n v="90"/>
    <n v="0"/>
    <n v="4.3"/>
    <n v="4.0999999999999996"/>
    <n v="16"/>
    <s v="Completed"/>
  </r>
  <r>
    <s v="UBR014"/>
    <x v="2"/>
    <x v="3"/>
    <x v="1"/>
    <s v="Airport"/>
    <s v="Regular"/>
    <x v="1"/>
    <n v="22.4"/>
    <n v="680"/>
    <n v="70"/>
    <n v="4.8"/>
    <n v="4.7"/>
    <n v="52"/>
    <s v="Completed"/>
  </r>
  <r>
    <s v="UBR015"/>
    <x v="2"/>
    <x v="4"/>
    <x v="0"/>
    <s v="City"/>
    <s v="Regular"/>
    <x v="0"/>
    <n v="8.9"/>
    <n v="260"/>
    <n v="20"/>
    <n v="4.7"/>
    <n v="4.5999999999999996"/>
    <n v="29"/>
    <s v="Completed"/>
  </r>
  <r>
    <s v="UBR016"/>
    <x v="2"/>
    <x v="5"/>
    <x v="2"/>
    <s v="City"/>
    <s v="Premium"/>
    <x v="1"/>
    <n v="11.5"/>
    <n v="450"/>
    <n v="35"/>
    <n v="4.9000000000000004"/>
    <n v="4.9000000000000004"/>
    <n v="37"/>
    <s v="Completed"/>
  </r>
  <r>
    <s v="UBR017"/>
    <x v="3"/>
    <x v="0"/>
    <x v="0"/>
    <s v="City"/>
    <s v="New"/>
    <x v="0"/>
    <n v="6.4"/>
    <n v="185"/>
    <n v="20"/>
    <n v="4.5"/>
    <n v="4.3"/>
    <n v="23"/>
    <s v="Cancelled"/>
  </r>
  <r>
    <s v="UBR018"/>
    <x v="3"/>
    <x v="1"/>
    <x v="0"/>
    <s v="City"/>
    <s v="Regular"/>
    <x v="2"/>
    <n v="10.6"/>
    <n v="320"/>
    <n v="0"/>
    <n v="4.7"/>
    <n v="4.5"/>
    <n v="34"/>
    <s v="Completed"/>
  </r>
  <r>
    <s v="UBR019"/>
    <x v="3"/>
    <x v="2"/>
    <x v="2"/>
    <s v="Airport"/>
    <s v="Premium"/>
    <x v="1"/>
    <n v="26.3"/>
    <n v="840"/>
    <n v="90"/>
    <n v="4.9000000000000004"/>
    <n v="4.8"/>
    <n v="61"/>
    <s v="Completed"/>
  </r>
  <r>
    <s v="UBR020"/>
    <x v="3"/>
    <x v="6"/>
    <x v="3"/>
    <s v="City"/>
    <s v="Regular"/>
    <x v="0"/>
    <n v="5.0999999999999996"/>
    <n v="115"/>
    <n v="10"/>
    <n v="4.5"/>
    <n v="4.4000000000000004"/>
    <n v="19"/>
    <s v="Completed"/>
  </r>
  <r>
    <s v="UBR021"/>
    <x v="3"/>
    <x v="3"/>
    <x v="0"/>
    <s v="City"/>
    <s v="Regular"/>
    <x v="0"/>
    <n v="9.3000000000000007"/>
    <n v="275"/>
    <n v="25"/>
    <n v="4.5999999999999996"/>
    <n v="4.7"/>
    <n v="30"/>
    <s v="Completed"/>
  </r>
  <r>
    <s v="UBR022"/>
    <x v="3"/>
    <x v="4"/>
    <x v="1"/>
    <s v="Airport"/>
    <s v="New"/>
    <x v="1"/>
    <n v="21.8"/>
    <n v="650"/>
    <n v="75"/>
    <n v="4.7"/>
    <n v="4.5"/>
    <n v="50"/>
    <s v="Completed"/>
  </r>
  <r>
    <s v="UBR023"/>
    <x v="4"/>
    <x v="5"/>
    <x v="0"/>
    <s v="City"/>
    <s v="Regular"/>
    <x v="2"/>
    <n v="7.6"/>
    <n v="225"/>
    <n v="0"/>
    <n v="4.4000000000000004"/>
    <n v="4.3"/>
    <n v="26"/>
    <s v="Completed"/>
  </r>
  <r>
    <s v="UBR024"/>
    <x v="4"/>
    <x v="0"/>
    <x v="3"/>
    <s v="City"/>
    <s v="New"/>
    <x v="0"/>
    <n v="3.2"/>
    <n v="80"/>
    <n v="5"/>
    <n v="4.5"/>
    <n v="4.2"/>
    <n v="14"/>
    <s v="Completed"/>
  </r>
  <r>
    <s v="UBR025"/>
    <x v="4"/>
    <x v="1"/>
    <x v="2"/>
    <s v="City"/>
    <s v="Premium"/>
    <x v="1"/>
    <n v="13.7"/>
    <n v="525"/>
    <n v="45"/>
    <n v="4.9000000000000004"/>
    <n v="4.9000000000000004"/>
    <n v="42"/>
    <s v="Completed"/>
  </r>
  <r>
    <s v="UBR026"/>
    <x v="4"/>
    <x v="2"/>
    <x v="0"/>
    <s v="City"/>
    <s v="Regular"/>
    <x v="0"/>
    <n v="11.4"/>
    <n v="335"/>
    <n v="30"/>
    <n v="4.8"/>
    <n v="4.7"/>
    <n v="36"/>
    <s v="Completed"/>
  </r>
  <r>
    <s v="UBR027"/>
    <x v="4"/>
    <x v="3"/>
    <x v="0"/>
    <s v="City"/>
    <s v="New"/>
    <x v="2"/>
    <n v="5.9"/>
    <n v="165"/>
    <n v="0"/>
    <n v="4.3"/>
    <n v="4.0999999999999996"/>
    <n v="21"/>
    <s v="Cancelled"/>
  </r>
  <r>
    <s v="UBR028"/>
    <x v="4"/>
    <x v="4"/>
    <x v="0"/>
    <s v="City"/>
    <s v="Regular"/>
    <x v="0"/>
    <n v="8.1999999999999993"/>
    <n v="240"/>
    <n v="20"/>
    <n v="4.5999999999999996"/>
    <n v="4.5"/>
    <n v="27"/>
    <s v="Completed"/>
  </r>
  <r>
    <s v="UBR029"/>
    <x v="5"/>
    <x v="6"/>
    <x v="2"/>
    <s v="Airport"/>
    <s v="Premium"/>
    <x v="1"/>
    <n v="19.600000000000001"/>
    <n v="610"/>
    <n v="60"/>
    <n v="4.8"/>
    <n v="4.8"/>
    <n v="47"/>
    <s v="Completed"/>
  </r>
  <r>
    <s v="UBR030"/>
    <x v="5"/>
    <x v="5"/>
    <x v="3"/>
    <s v="City"/>
    <s v="Regular"/>
    <x v="0"/>
    <n v="4.2"/>
    <n v="95"/>
    <n v="5"/>
    <n v="4.5"/>
    <n v="4.4000000000000004"/>
    <n v="17"/>
    <s v="Completed"/>
  </r>
  <r>
    <s v="UBR031"/>
    <x v="5"/>
    <x v="0"/>
    <x v="1"/>
    <s v="Airport"/>
    <s v="Regular"/>
    <x v="1"/>
    <n v="25.8"/>
    <n v="795"/>
    <n v="85"/>
    <n v="4.9000000000000004"/>
    <n v="4.8"/>
    <n v="59"/>
    <s v="Completed"/>
  </r>
  <r>
    <s v="UBR032"/>
    <x v="5"/>
    <x v="1"/>
    <x v="0"/>
    <s v="City"/>
    <s v="New"/>
    <x v="0"/>
    <n v="9.1"/>
    <n v="270"/>
    <n v="30"/>
    <n v="4.5999999999999996"/>
    <n v="4.5"/>
    <n v="30"/>
    <s v="Completed"/>
  </r>
  <r>
    <s v="UBR033"/>
    <x v="5"/>
    <x v="2"/>
    <x v="0"/>
    <s v="City"/>
    <s v="Regular"/>
    <x v="2"/>
    <n v="6.7"/>
    <n v="195"/>
    <n v="0"/>
    <n v="4.4000000000000004"/>
    <n v="4.3"/>
    <n v="23"/>
    <s v="Completed"/>
  </r>
  <r>
    <s v="UBR034"/>
    <x v="6"/>
    <x v="3"/>
    <x v="2"/>
    <s v="City"/>
    <s v="Premium"/>
    <x v="1"/>
    <n v="12.8"/>
    <n v="490"/>
    <n v="40"/>
    <n v="4.9000000000000004"/>
    <n v="4.9000000000000004"/>
    <n v="39"/>
    <s v="Completed"/>
  </r>
  <r>
    <s v="UBR035"/>
    <x v="6"/>
    <x v="4"/>
    <x v="0"/>
    <s v="City"/>
    <s v="Regular"/>
    <x v="0"/>
    <n v="7.5"/>
    <n v="220"/>
    <n v="15"/>
    <n v="4.7"/>
    <n v="4.5999999999999996"/>
    <n v="25"/>
    <s v="Completed"/>
  </r>
  <r>
    <s v="UBR036"/>
    <x v="6"/>
    <x v="5"/>
    <x v="1"/>
    <s v="Airport"/>
    <s v="Regular"/>
    <x v="1"/>
    <n v="23.6"/>
    <n v="705"/>
    <n v="70"/>
    <n v="4.8"/>
    <n v="4.7"/>
    <n v="54"/>
    <s v="Completed"/>
  </r>
  <r>
    <s v="UBR037"/>
    <x v="6"/>
    <x v="0"/>
    <x v="0"/>
    <s v="City"/>
    <s v="New"/>
    <x v="0"/>
    <n v="5.3"/>
    <n v="155"/>
    <n v="20"/>
    <n v="4.5"/>
    <n v="4.4000000000000004"/>
    <n v="19"/>
    <s v="Completed"/>
  </r>
  <r>
    <s v="UBR038"/>
    <x v="6"/>
    <x v="1"/>
    <x v="3"/>
    <s v="City"/>
    <s v="Regular"/>
    <x v="2"/>
    <n v="4.7"/>
    <n v="110"/>
    <n v="0"/>
    <n v="4.4000000000000004"/>
    <n v="4.2"/>
    <n v="18"/>
    <s v="Cancelled"/>
  </r>
  <r>
    <s v="UBR039"/>
    <x v="6"/>
    <x v="2"/>
    <x v="0"/>
    <s v="City"/>
    <s v="Premium"/>
    <x v="1"/>
    <n v="10.9"/>
    <n v="330"/>
    <n v="25"/>
    <n v="4.8"/>
    <n v="4.7"/>
    <n v="35"/>
    <s v="Completed"/>
  </r>
  <r>
    <s v="UBR040"/>
    <x v="6"/>
    <x v="6"/>
    <x v="0"/>
    <s v="Airport"/>
    <s v="Regular"/>
    <x v="0"/>
    <n v="16.8"/>
    <n v="495"/>
    <n v="50"/>
    <n v="4.7"/>
    <n v="4.5999999999999996"/>
    <n v="40"/>
    <s v="Completed"/>
  </r>
  <r>
    <s v="UBR041"/>
    <x v="7"/>
    <x v="3"/>
    <x v="3"/>
    <s v="City"/>
    <s v="New"/>
    <x v="0"/>
    <n v="3.9"/>
    <n v="92"/>
    <n v="5"/>
    <n v="4.5"/>
    <n v="4.3"/>
    <n v="15"/>
    <s v="Completed"/>
  </r>
  <r>
    <s v="UBR042"/>
    <x v="7"/>
    <x v="4"/>
    <x v="2"/>
    <s v="City"/>
    <s v="Premium"/>
    <x v="1"/>
    <n v="15.2"/>
    <n v="575"/>
    <n v="50"/>
    <n v="4.9000000000000004"/>
    <n v="4.8"/>
    <n v="45"/>
    <s v="Completed"/>
  </r>
  <r>
    <s v="UBR043"/>
    <x v="7"/>
    <x v="5"/>
    <x v="0"/>
    <s v="City"/>
    <s v="Regular"/>
    <x v="2"/>
    <n v="8.8000000000000007"/>
    <n v="255"/>
    <n v="0"/>
    <n v="4.5999999999999996"/>
    <n v="4.5"/>
    <n v="28"/>
    <s v="Completed"/>
  </r>
  <r>
    <s v="UBR044"/>
    <x v="7"/>
    <x v="0"/>
    <x v="0"/>
    <s v="City"/>
    <s v="Regular"/>
    <x v="0"/>
    <n v="10.1"/>
    <n v="300"/>
    <n v="25"/>
    <n v="4.8"/>
    <n v="4.7"/>
    <n v="33"/>
    <s v="Completed"/>
  </r>
  <r>
    <s v="UBR045"/>
    <x v="7"/>
    <x v="1"/>
    <x v="1"/>
    <s v="Airport"/>
    <s v="Premium"/>
    <x v="1"/>
    <n v="27.4"/>
    <n v="850"/>
    <n v="100"/>
    <n v="4.9000000000000004"/>
    <n v="4.9000000000000004"/>
    <n v="64"/>
    <s v="Completed"/>
  </r>
  <r>
    <s v="UBR046"/>
    <x v="7"/>
    <x v="2"/>
    <x v="3"/>
    <s v="City"/>
    <s v="New"/>
    <x v="2"/>
    <n v="4.0999999999999996"/>
    <n v="95"/>
    <n v="0"/>
    <n v="4.2"/>
    <n v="4"/>
    <n v="17"/>
    <s v="Completed"/>
  </r>
  <r>
    <s v="UBR047"/>
    <x v="8"/>
    <x v="3"/>
    <x v="0"/>
    <s v="City"/>
    <s v="Regular"/>
    <x v="0"/>
    <n v="7.9"/>
    <n v="230"/>
    <n v="20"/>
    <n v="4.7"/>
    <n v="4.5999999999999996"/>
    <n v="26"/>
    <s v="Completed"/>
  </r>
  <r>
    <s v="UBR048"/>
    <x v="8"/>
    <x v="4"/>
    <x v="1"/>
    <s v="Airport"/>
    <s v="Regular"/>
    <x v="1"/>
    <n v="20.5"/>
    <n v="625"/>
    <n v="65"/>
    <n v="4.8"/>
    <n v="4.7"/>
    <n v="49"/>
    <s v="Completed"/>
  </r>
  <r>
    <s v="UBR049"/>
    <x v="8"/>
    <x v="6"/>
    <x v="3"/>
    <s v="City"/>
    <s v="New"/>
    <x v="0"/>
    <n v="4.8"/>
    <n v="105"/>
    <n v="10"/>
    <n v="4.5999999999999996"/>
    <n v="4.4000000000000004"/>
    <n v="18"/>
    <s v="Completed"/>
  </r>
  <r>
    <s v="UBR050"/>
    <x v="8"/>
    <x v="5"/>
    <x v="0"/>
    <s v="City"/>
    <s v="Regular"/>
    <x v="0"/>
    <n v="9.6"/>
    <n v="285"/>
    <n v="25"/>
    <n v="4.7"/>
    <n v="4.5999999999999996"/>
    <n v="32"/>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298532-3C7D-4FE3-9B1E-B12076D7BDB0}"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3:Q37" firstHeaderRow="1" firstDataRow="1" firstDataCol="1"/>
  <pivotFields count="14">
    <pivotField dataField="1" showAll="0"/>
    <pivotField numFmtId="15"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Rid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B2DB2-28BF-4812-9ECD-099E51E9C1F6}"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21:Q31" firstHeaderRow="1" firstDataRow="1" firstDataCol="1"/>
  <pivotFields count="14">
    <pivotField showAll="0"/>
    <pivotField axis="axisRow" numFmtId="15"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Fare_INR"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AFC22A-ADEC-4B2C-9AD2-0F13ECE7FB45}"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12:Q15" firstHeaderRow="1" firstDataRow="1" firstDataCol="1"/>
  <pivotFields count="14">
    <pivotField dataField="1" showAll="0"/>
    <pivotField numFmtId="15" showAll="0"/>
    <pivotField showAll="0"/>
    <pivotField axis="axisRow" showAll="0">
      <items count="5">
        <item h="1" x="3"/>
        <item x="2"/>
        <item h="1"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v="1"/>
    </i>
    <i>
      <x v="3"/>
    </i>
    <i t="grand">
      <x/>
    </i>
  </rowItems>
  <colItems count="1">
    <i/>
  </colItems>
  <dataFields count="1">
    <dataField name="Count of Rid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86AAA5-E216-4D1F-92BC-E9DF7A9F20B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3:Q5" firstHeaderRow="1" firstDataRow="1" firstDataCol="1"/>
  <pivotFields count="14">
    <pivotField showAll="0"/>
    <pivotField numFmtId="15" showAll="0"/>
    <pivotField axis="axisRow" showAll="0">
      <items count="8">
        <item h="1" x="0"/>
        <item h="1" x="4"/>
        <item h="1" x="2"/>
        <item h="1" x="3"/>
        <item x="6"/>
        <item h="1" x="1"/>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2">
    <i>
      <x v="4"/>
    </i>
    <i t="grand">
      <x/>
    </i>
  </rowItems>
  <colItems count="1">
    <i/>
  </colItems>
  <dataFields count="1">
    <dataField name="Sum of Fare_INR"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7DAA0B8-C632-48FA-B5ED-4FE92632A292}" sourceName="City">
  <pivotTables>
    <pivotTable tabId="1" name="PivotTable1"/>
  </pivotTables>
  <data>
    <tabular pivotCacheId="1709840517">
      <items count="7">
        <i x="0"/>
        <i x="4"/>
        <i x="2"/>
        <i x="3"/>
        <i x="6" s="1"/>
        <i x="1"/>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2D23A24C-E6BB-42D1-9E5B-F30D45BE5585}" sourceName="Vehicle_Type">
  <pivotTables>
    <pivotTable tabId="1" name="PivotTable2"/>
  </pivotTables>
  <data>
    <tabular pivotCacheId="1709840517">
      <items count="4">
        <i x="3"/>
        <i x="2" s="1"/>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E73D5BD-8B2D-465D-8171-B6F294B827CF}" cache="Slicer_City" caption="City" rowHeight="257175"/>
  <slicer name="Vehicle_Type" xr10:uid="{C1CB5370-E2D1-42BE-8849-269BD86AC619}" cache="Slicer_Vehicle_Type" caption="Vehicle_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A6A572-7382-4AE3-A951-61043E188532}" name="Table1" displayName="Table1" ref="A1:N51" totalsRowShown="0" headerRowDxfId="1" dataDxfId="2">
  <autoFilter ref="A1:N51" xr:uid="{D3A6A572-7382-4AE3-A951-61043E188532}"/>
  <tableColumns count="14">
    <tableColumn id="1" xr3:uid="{CC41CA33-F79B-4F7F-A4B3-F53C8B7C3899}" name="Ride_ID" dataDxfId="16"/>
    <tableColumn id="2" xr3:uid="{70C76294-9D5C-4E7A-AEEF-2F2472BC66A0}" name="Date" dataDxfId="15"/>
    <tableColumn id="3" xr3:uid="{423790A3-70E8-44D5-A334-D715AFACEF83}" name="City" dataDxfId="14"/>
    <tableColumn id="4" xr3:uid="{525E90C3-0103-4CFD-B269-429F45979F83}" name="Vehicle_Type" dataDxfId="13"/>
    <tableColumn id="5" xr3:uid="{BC2F4FCC-87A2-443A-96B9-E6CEF84A657C}" name="Trip_Type" dataDxfId="12"/>
    <tableColumn id="6" xr3:uid="{669AF927-1C1B-49A5-A385-68D5CED64547}" name="Customer_Type" dataDxfId="11"/>
    <tableColumn id="7" xr3:uid="{51D6E321-7DB6-4373-A293-9BF51AD5FDAD}" name="Payment_Mode" dataDxfId="10"/>
    <tableColumn id="8" xr3:uid="{95F857BF-43C4-4342-9C1D-30243BE21FC1}" name="Distance_KM" dataDxfId="9"/>
    <tableColumn id="9" xr3:uid="{EFB50154-EDC3-4D31-ACF3-B8FA3244CE69}" name="Fare_INR" dataDxfId="8"/>
    <tableColumn id="10" xr3:uid="{4EA4B09A-1DA9-4E54-83B0-E24D1A14078C}" name="Discount_INR" dataDxfId="7"/>
    <tableColumn id="11" xr3:uid="{290B07D0-0F86-482B-BE3D-699EA0381E2E}" name="Driver_Rating" dataDxfId="6"/>
    <tableColumn id="12" xr3:uid="{18E72A82-5415-4BD1-9FA8-5641215D5150}" name="Customer_Rating" dataDxfId="5"/>
    <tableColumn id="13" xr3:uid="{482F51DE-061D-4E98-9979-0B4C924AD6F3}" name="Trip_Duration_Min" dataDxfId="4"/>
    <tableColumn id="14" xr3:uid="{444BC073-2969-4C52-8EB7-A1293F5896D7}" name="Status"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2693A9-CADA-4F11-8E7B-69C7E87B758D}" name="Table2" displayName="Table2" ref="C1:C6" totalsRowShown="0" tableBorderDxfId="0">
  <autoFilter ref="C1:C6" xr:uid="{942693A9-CADA-4F11-8E7B-69C7E87B758D}"/>
  <tableColumns count="1">
    <tableColumn id="1" xr3:uid="{0D5371DE-C3A9-4419-8BBC-834BA595FD45}" name="answ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C497-0E56-43AE-8C5B-AD63BA2131E1}">
  <dimension ref="A1:Q51"/>
  <sheetViews>
    <sheetView tabSelected="1" topLeftCell="L30" zoomScale="85" zoomScaleNormal="85" workbookViewId="0">
      <selection activeCell="V34" sqref="V34"/>
    </sheetView>
  </sheetViews>
  <sheetFormatPr defaultRowHeight="15" x14ac:dyDescent="0.25"/>
  <cols>
    <col min="1" max="1" width="10.140625" customWidth="1"/>
    <col min="4" max="4" width="15" customWidth="1"/>
    <col min="5" max="5" width="11.7109375" customWidth="1"/>
    <col min="6" max="6" width="17.28515625" customWidth="1"/>
    <col min="7" max="7" width="16.85546875" customWidth="1"/>
    <col min="8" max="8" width="14.7109375" customWidth="1"/>
    <col min="9" max="9" width="11.140625" customWidth="1"/>
    <col min="10" max="10" width="15.42578125" customWidth="1"/>
    <col min="11" max="11" width="15.28515625" customWidth="1"/>
    <col min="12" max="12" width="18.7109375" customWidth="1"/>
    <col min="13" max="13" width="19.42578125" customWidth="1"/>
    <col min="14" max="14" width="11.28515625" customWidth="1"/>
    <col min="16" max="16" width="13.42578125" bestFit="1" customWidth="1"/>
    <col min="17" max="17" width="16.42578125" bestFit="1" customWidth="1"/>
  </cols>
  <sheetData>
    <row r="1" spans="1:17" ht="45" x14ac:dyDescent="0.25">
      <c r="A1" s="1" t="s">
        <v>0</v>
      </c>
      <c r="B1" s="1" t="s">
        <v>1</v>
      </c>
      <c r="C1" s="1" t="s">
        <v>2</v>
      </c>
      <c r="D1" s="1" t="s">
        <v>3</v>
      </c>
      <c r="E1" s="1" t="s">
        <v>4</v>
      </c>
      <c r="F1" s="1" t="s">
        <v>5</v>
      </c>
      <c r="G1" s="1" t="s">
        <v>6</v>
      </c>
      <c r="H1" s="3" t="s">
        <v>7</v>
      </c>
      <c r="I1" s="3" t="s">
        <v>8</v>
      </c>
      <c r="J1" s="3" t="s">
        <v>9</v>
      </c>
      <c r="K1" s="3" t="s">
        <v>10</v>
      </c>
      <c r="L1" s="3" t="s">
        <v>11</v>
      </c>
      <c r="M1" s="3" t="s">
        <v>12</v>
      </c>
      <c r="N1" s="1" t="s">
        <v>13</v>
      </c>
    </row>
    <row r="2" spans="1:17" ht="30" x14ac:dyDescent="0.25">
      <c r="A2" s="4" t="s">
        <v>14</v>
      </c>
      <c r="B2" s="5">
        <v>46235</v>
      </c>
      <c r="C2" s="4" t="s">
        <v>15</v>
      </c>
      <c r="D2" s="4" t="s">
        <v>16</v>
      </c>
      <c r="E2" s="4" t="s">
        <v>2</v>
      </c>
      <c r="F2" s="4" t="s">
        <v>17</v>
      </c>
      <c r="G2" s="4" t="s">
        <v>18</v>
      </c>
      <c r="H2" s="2">
        <v>8.5</v>
      </c>
      <c r="I2" s="2">
        <v>245</v>
      </c>
      <c r="J2" s="2">
        <v>20</v>
      </c>
      <c r="K2" s="2">
        <v>4.8</v>
      </c>
      <c r="L2" s="2">
        <v>4.7</v>
      </c>
      <c r="M2" s="2">
        <v>28</v>
      </c>
      <c r="N2" s="4" t="s">
        <v>19</v>
      </c>
    </row>
    <row r="3" spans="1:17" ht="30" x14ac:dyDescent="0.25">
      <c r="A3" s="4" t="s">
        <v>20</v>
      </c>
      <c r="B3" s="5">
        <v>46235</v>
      </c>
      <c r="C3" s="4" t="s">
        <v>21</v>
      </c>
      <c r="D3" s="4" t="s">
        <v>16</v>
      </c>
      <c r="E3" s="4" t="s">
        <v>2</v>
      </c>
      <c r="F3" s="4" t="s">
        <v>22</v>
      </c>
      <c r="G3" s="4" t="s">
        <v>23</v>
      </c>
      <c r="H3" s="2">
        <v>12.2</v>
      </c>
      <c r="I3" s="2">
        <v>385</v>
      </c>
      <c r="J3" s="2">
        <v>50</v>
      </c>
      <c r="K3" s="2">
        <v>4.5999999999999996</v>
      </c>
      <c r="L3" s="2">
        <v>4.5</v>
      </c>
      <c r="M3" s="2">
        <v>41</v>
      </c>
      <c r="N3" s="4" t="s">
        <v>19</v>
      </c>
      <c r="P3" s="13" t="s">
        <v>120</v>
      </c>
      <c r="Q3" t="s">
        <v>91</v>
      </c>
    </row>
    <row r="4" spans="1:17" ht="30" x14ac:dyDescent="0.25">
      <c r="A4" s="4" t="s">
        <v>24</v>
      </c>
      <c r="B4" s="5">
        <v>46235</v>
      </c>
      <c r="C4" s="4" t="s">
        <v>25</v>
      </c>
      <c r="D4" s="4" t="s">
        <v>26</v>
      </c>
      <c r="E4" s="4" t="s">
        <v>27</v>
      </c>
      <c r="F4" s="4" t="s">
        <v>17</v>
      </c>
      <c r="G4" s="4" t="s">
        <v>18</v>
      </c>
      <c r="H4" s="2">
        <v>24.5</v>
      </c>
      <c r="I4" s="2">
        <v>720</v>
      </c>
      <c r="J4" s="2">
        <v>80</v>
      </c>
      <c r="K4" s="2">
        <v>4.9000000000000004</v>
      </c>
      <c r="L4" s="2">
        <v>4.8</v>
      </c>
      <c r="M4" s="2">
        <v>55</v>
      </c>
      <c r="N4" s="4" t="s">
        <v>19</v>
      </c>
      <c r="P4" s="14" t="s">
        <v>42</v>
      </c>
      <c r="Q4" s="15">
        <v>1865</v>
      </c>
    </row>
    <row r="5" spans="1:17" ht="30" x14ac:dyDescent="0.25">
      <c r="A5" s="4" t="s">
        <v>28</v>
      </c>
      <c r="B5" s="5">
        <v>46235</v>
      </c>
      <c r="C5" s="4" t="s">
        <v>29</v>
      </c>
      <c r="D5" s="4" t="s">
        <v>16</v>
      </c>
      <c r="E5" s="4" t="s">
        <v>2</v>
      </c>
      <c r="F5" s="4" t="s">
        <v>17</v>
      </c>
      <c r="G5" s="4" t="s">
        <v>30</v>
      </c>
      <c r="H5" s="2">
        <v>6.8</v>
      </c>
      <c r="I5" s="2">
        <v>190</v>
      </c>
      <c r="J5" s="2">
        <v>0</v>
      </c>
      <c r="K5" s="2">
        <v>4.5</v>
      </c>
      <c r="L5" s="2">
        <v>4.5999999999999996</v>
      </c>
      <c r="M5" s="2">
        <v>22</v>
      </c>
      <c r="N5" s="4" t="s">
        <v>19</v>
      </c>
      <c r="P5" s="14" t="s">
        <v>121</v>
      </c>
      <c r="Q5" s="15">
        <v>1865</v>
      </c>
    </row>
    <row r="6" spans="1:17" ht="30" x14ac:dyDescent="0.25">
      <c r="A6" s="4" t="s">
        <v>31</v>
      </c>
      <c r="B6" s="5">
        <v>46235</v>
      </c>
      <c r="C6" s="4" t="s">
        <v>32</v>
      </c>
      <c r="D6" s="4" t="s">
        <v>33</v>
      </c>
      <c r="E6" s="4" t="s">
        <v>2</v>
      </c>
      <c r="F6" s="4" t="s">
        <v>34</v>
      </c>
      <c r="G6" s="4" t="s">
        <v>23</v>
      </c>
      <c r="H6" s="2">
        <v>10.4</v>
      </c>
      <c r="I6" s="2">
        <v>410</v>
      </c>
      <c r="J6" s="2">
        <v>30</v>
      </c>
      <c r="K6" s="2">
        <v>4.9000000000000004</v>
      </c>
      <c r="L6" s="2">
        <v>4.9000000000000004</v>
      </c>
      <c r="M6" s="2">
        <v>35</v>
      </c>
      <c r="N6" s="4" t="s">
        <v>19</v>
      </c>
    </row>
    <row r="7" spans="1:17" ht="30" x14ac:dyDescent="0.25">
      <c r="A7" s="4" t="s">
        <v>35</v>
      </c>
      <c r="B7" s="5">
        <v>46236</v>
      </c>
      <c r="C7" s="4" t="s">
        <v>36</v>
      </c>
      <c r="D7" s="4" t="s">
        <v>16</v>
      </c>
      <c r="E7" s="4" t="s">
        <v>2</v>
      </c>
      <c r="F7" s="4" t="s">
        <v>22</v>
      </c>
      <c r="G7" s="4" t="s">
        <v>18</v>
      </c>
      <c r="H7" s="2">
        <v>7.2</v>
      </c>
      <c r="I7" s="2">
        <v>215</v>
      </c>
      <c r="J7" s="2">
        <v>25</v>
      </c>
      <c r="K7" s="2">
        <v>4.7</v>
      </c>
      <c r="L7" s="2">
        <v>4.4000000000000004</v>
      </c>
      <c r="M7" s="2">
        <v>25</v>
      </c>
      <c r="N7" s="4" t="s">
        <v>19</v>
      </c>
    </row>
    <row r="8" spans="1:17" ht="30" x14ac:dyDescent="0.25">
      <c r="A8" s="4" t="s">
        <v>37</v>
      </c>
      <c r="B8" s="5">
        <v>46236</v>
      </c>
      <c r="C8" s="4" t="s">
        <v>15</v>
      </c>
      <c r="D8" s="4" t="s">
        <v>38</v>
      </c>
      <c r="E8" s="4" t="s">
        <v>2</v>
      </c>
      <c r="F8" s="4" t="s">
        <v>17</v>
      </c>
      <c r="G8" s="4" t="s">
        <v>18</v>
      </c>
      <c r="H8" s="2">
        <v>4.5</v>
      </c>
      <c r="I8" s="2">
        <v>105</v>
      </c>
      <c r="J8" s="2">
        <v>10</v>
      </c>
      <c r="K8" s="2">
        <v>4.5999999999999996</v>
      </c>
      <c r="L8" s="2">
        <v>4.5</v>
      </c>
      <c r="M8" s="2">
        <v>18</v>
      </c>
      <c r="N8" s="4" t="s">
        <v>19</v>
      </c>
    </row>
    <row r="9" spans="1:17" ht="30" x14ac:dyDescent="0.25">
      <c r="A9" s="4" t="s">
        <v>39</v>
      </c>
      <c r="B9" s="5">
        <v>46236</v>
      </c>
      <c r="C9" s="4" t="s">
        <v>21</v>
      </c>
      <c r="D9" s="4" t="s">
        <v>26</v>
      </c>
      <c r="E9" s="4" t="s">
        <v>27</v>
      </c>
      <c r="F9" s="4" t="s">
        <v>34</v>
      </c>
      <c r="G9" s="4" t="s">
        <v>23</v>
      </c>
      <c r="H9" s="2">
        <v>28.7</v>
      </c>
      <c r="I9" s="2">
        <v>890</v>
      </c>
      <c r="J9" s="2">
        <v>100</v>
      </c>
      <c r="K9" s="2">
        <v>4.8</v>
      </c>
      <c r="L9" s="2">
        <v>4.9000000000000004</v>
      </c>
      <c r="M9" s="2">
        <v>67</v>
      </c>
      <c r="N9" s="4" t="s">
        <v>19</v>
      </c>
    </row>
    <row r="10" spans="1:17" ht="30" x14ac:dyDescent="0.25">
      <c r="A10" s="4" t="s">
        <v>40</v>
      </c>
      <c r="B10" s="5">
        <v>46236</v>
      </c>
      <c r="C10" s="4" t="s">
        <v>25</v>
      </c>
      <c r="D10" s="4" t="s">
        <v>16</v>
      </c>
      <c r="E10" s="4" t="s">
        <v>2</v>
      </c>
      <c r="F10" s="4" t="s">
        <v>17</v>
      </c>
      <c r="G10" s="4" t="s">
        <v>30</v>
      </c>
      <c r="H10" s="2">
        <v>9.8000000000000007</v>
      </c>
      <c r="I10" s="2">
        <v>290</v>
      </c>
      <c r="J10" s="2">
        <v>0</v>
      </c>
      <c r="K10" s="2">
        <v>4.4000000000000004</v>
      </c>
      <c r="L10" s="2">
        <v>4.2</v>
      </c>
      <c r="M10" s="2">
        <v>31</v>
      </c>
      <c r="N10" s="4" t="s">
        <v>19</v>
      </c>
    </row>
    <row r="11" spans="1:17" ht="30" x14ac:dyDescent="0.25">
      <c r="A11" s="4" t="s">
        <v>41</v>
      </c>
      <c r="B11" s="5">
        <v>46236</v>
      </c>
      <c r="C11" s="4" t="s">
        <v>42</v>
      </c>
      <c r="D11" s="4" t="s">
        <v>16</v>
      </c>
      <c r="E11" s="4" t="s">
        <v>27</v>
      </c>
      <c r="F11" s="4" t="s">
        <v>22</v>
      </c>
      <c r="G11" s="4" t="s">
        <v>18</v>
      </c>
      <c r="H11" s="2">
        <v>18.5</v>
      </c>
      <c r="I11" s="2">
        <v>540</v>
      </c>
      <c r="J11" s="2">
        <v>60</v>
      </c>
      <c r="K11" s="2">
        <v>4.7</v>
      </c>
      <c r="L11" s="2">
        <v>4.5999999999999996</v>
      </c>
      <c r="M11" s="2">
        <v>44</v>
      </c>
      <c r="N11" s="4" t="s">
        <v>19</v>
      </c>
    </row>
    <row r="12" spans="1:17" ht="30" x14ac:dyDescent="0.25">
      <c r="A12" s="4" t="s">
        <v>43</v>
      </c>
      <c r="B12" s="5">
        <v>46237</v>
      </c>
      <c r="C12" s="4" t="s">
        <v>15</v>
      </c>
      <c r="D12" s="4" t="s">
        <v>33</v>
      </c>
      <c r="E12" s="4" t="s">
        <v>2</v>
      </c>
      <c r="F12" s="4" t="s">
        <v>34</v>
      </c>
      <c r="G12" s="4" t="s">
        <v>23</v>
      </c>
      <c r="H12" s="2">
        <v>14.2</v>
      </c>
      <c r="I12" s="2">
        <v>560</v>
      </c>
      <c r="J12" s="2">
        <v>40</v>
      </c>
      <c r="K12" s="2">
        <v>4.9000000000000004</v>
      </c>
      <c r="L12" s="2">
        <v>4.8</v>
      </c>
      <c r="M12" s="2">
        <v>43</v>
      </c>
      <c r="N12" s="4" t="s">
        <v>19</v>
      </c>
      <c r="P12" s="13" t="s">
        <v>120</v>
      </c>
      <c r="Q12" t="s">
        <v>87</v>
      </c>
    </row>
    <row r="13" spans="1:17" ht="30" x14ac:dyDescent="0.25">
      <c r="A13" s="4" t="s">
        <v>44</v>
      </c>
      <c r="B13" s="5">
        <v>46237</v>
      </c>
      <c r="C13" s="4" t="s">
        <v>21</v>
      </c>
      <c r="D13" s="4" t="s">
        <v>16</v>
      </c>
      <c r="E13" s="4" t="s">
        <v>2</v>
      </c>
      <c r="F13" s="4" t="s">
        <v>17</v>
      </c>
      <c r="G13" s="4" t="s">
        <v>18</v>
      </c>
      <c r="H13" s="2">
        <v>5.7</v>
      </c>
      <c r="I13" s="2">
        <v>175</v>
      </c>
      <c r="J13" s="2">
        <v>15</v>
      </c>
      <c r="K13" s="2">
        <v>4.5999999999999996</v>
      </c>
      <c r="L13" s="2">
        <v>4.7</v>
      </c>
      <c r="M13" s="2">
        <v>20</v>
      </c>
      <c r="N13" s="4" t="s">
        <v>19</v>
      </c>
      <c r="P13" s="14" t="s">
        <v>33</v>
      </c>
      <c r="Q13" s="15">
        <v>8</v>
      </c>
    </row>
    <row r="14" spans="1:17" ht="30" x14ac:dyDescent="0.25">
      <c r="A14" s="4" t="s">
        <v>45</v>
      </c>
      <c r="B14" s="5">
        <v>46237</v>
      </c>
      <c r="C14" s="4" t="s">
        <v>25</v>
      </c>
      <c r="D14" s="4" t="s">
        <v>38</v>
      </c>
      <c r="E14" s="4" t="s">
        <v>2</v>
      </c>
      <c r="F14" s="4" t="s">
        <v>22</v>
      </c>
      <c r="G14" s="4" t="s">
        <v>30</v>
      </c>
      <c r="H14" s="2">
        <v>3.8</v>
      </c>
      <c r="I14" s="2">
        <v>90</v>
      </c>
      <c r="J14" s="2">
        <v>0</v>
      </c>
      <c r="K14" s="2">
        <v>4.3</v>
      </c>
      <c r="L14" s="2">
        <v>4.0999999999999996</v>
      </c>
      <c r="M14" s="2">
        <v>16</v>
      </c>
      <c r="N14" s="4" t="s">
        <v>19</v>
      </c>
      <c r="P14" s="14" t="s">
        <v>26</v>
      </c>
      <c r="Q14" s="15">
        <v>8</v>
      </c>
    </row>
    <row r="15" spans="1:17" ht="30" x14ac:dyDescent="0.25">
      <c r="A15" s="4" t="s">
        <v>46</v>
      </c>
      <c r="B15" s="5">
        <v>46237</v>
      </c>
      <c r="C15" s="4" t="s">
        <v>29</v>
      </c>
      <c r="D15" s="4" t="s">
        <v>26</v>
      </c>
      <c r="E15" s="4" t="s">
        <v>27</v>
      </c>
      <c r="F15" s="4" t="s">
        <v>17</v>
      </c>
      <c r="G15" s="4" t="s">
        <v>23</v>
      </c>
      <c r="H15" s="2">
        <v>22.4</v>
      </c>
      <c r="I15" s="2">
        <v>680</v>
      </c>
      <c r="J15" s="2">
        <v>70</v>
      </c>
      <c r="K15" s="2">
        <v>4.8</v>
      </c>
      <c r="L15" s="2">
        <v>4.7</v>
      </c>
      <c r="M15" s="2">
        <v>52</v>
      </c>
      <c r="N15" s="4" t="s">
        <v>19</v>
      </c>
      <c r="P15" s="14" t="s">
        <v>121</v>
      </c>
      <c r="Q15" s="15">
        <v>16</v>
      </c>
    </row>
    <row r="16" spans="1:17" ht="30" x14ac:dyDescent="0.25">
      <c r="A16" s="4" t="s">
        <v>47</v>
      </c>
      <c r="B16" s="5">
        <v>46237</v>
      </c>
      <c r="C16" s="4" t="s">
        <v>32</v>
      </c>
      <c r="D16" s="4" t="s">
        <v>16</v>
      </c>
      <c r="E16" s="4" t="s">
        <v>2</v>
      </c>
      <c r="F16" s="4" t="s">
        <v>17</v>
      </c>
      <c r="G16" s="4" t="s">
        <v>18</v>
      </c>
      <c r="H16" s="2">
        <v>8.9</v>
      </c>
      <c r="I16" s="2">
        <v>260</v>
      </c>
      <c r="J16" s="2">
        <v>20</v>
      </c>
      <c r="K16" s="2">
        <v>4.7</v>
      </c>
      <c r="L16" s="2">
        <v>4.5999999999999996</v>
      </c>
      <c r="M16" s="2">
        <v>29</v>
      </c>
      <c r="N16" s="4" t="s">
        <v>19</v>
      </c>
    </row>
    <row r="17" spans="1:17" ht="30" x14ac:dyDescent="0.25">
      <c r="A17" s="4" t="s">
        <v>48</v>
      </c>
      <c r="B17" s="5">
        <v>46237</v>
      </c>
      <c r="C17" s="4" t="s">
        <v>36</v>
      </c>
      <c r="D17" s="4" t="s">
        <v>33</v>
      </c>
      <c r="E17" s="4" t="s">
        <v>2</v>
      </c>
      <c r="F17" s="4" t="s">
        <v>34</v>
      </c>
      <c r="G17" s="4" t="s">
        <v>23</v>
      </c>
      <c r="H17" s="2">
        <v>11.5</v>
      </c>
      <c r="I17" s="2">
        <v>450</v>
      </c>
      <c r="J17" s="2">
        <v>35</v>
      </c>
      <c r="K17" s="2">
        <v>4.9000000000000004</v>
      </c>
      <c r="L17" s="2">
        <v>4.9000000000000004</v>
      </c>
      <c r="M17" s="2">
        <v>37</v>
      </c>
      <c r="N17" s="4" t="s">
        <v>19</v>
      </c>
    </row>
    <row r="18" spans="1:17" ht="30" x14ac:dyDescent="0.25">
      <c r="A18" s="4" t="s">
        <v>49</v>
      </c>
      <c r="B18" s="5">
        <v>46238</v>
      </c>
      <c r="C18" s="4" t="s">
        <v>15</v>
      </c>
      <c r="D18" s="4" t="s">
        <v>16</v>
      </c>
      <c r="E18" s="4" t="s">
        <v>2</v>
      </c>
      <c r="F18" s="4" t="s">
        <v>22</v>
      </c>
      <c r="G18" s="4" t="s">
        <v>18</v>
      </c>
      <c r="H18" s="2">
        <v>6.4</v>
      </c>
      <c r="I18" s="2">
        <v>185</v>
      </c>
      <c r="J18" s="2">
        <v>20</v>
      </c>
      <c r="K18" s="2">
        <v>4.5</v>
      </c>
      <c r="L18" s="2">
        <v>4.3</v>
      </c>
      <c r="M18" s="2">
        <v>23</v>
      </c>
      <c r="N18" s="4" t="s">
        <v>50</v>
      </c>
    </row>
    <row r="19" spans="1:17" ht="30" x14ac:dyDescent="0.25">
      <c r="A19" s="4" t="s">
        <v>51</v>
      </c>
      <c r="B19" s="5">
        <v>46238</v>
      </c>
      <c r="C19" s="4" t="s">
        <v>21</v>
      </c>
      <c r="D19" s="4" t="s">
        <v>16</v>
      </c>
      <c r="E19" s="4" t="s">
        <v>2</v>
      </c>
      <c r="F19" s="4" t="s">
        <v>17</v>
      </c>
      <c r="G19" s="4" t="s">
        <v>30</v>
      </c>
      <c r="H19" s="2">
        <v>10.6</v>
      </c>
      <c r="I19" s="2">
        <v>320</v>
      </c>
      <c r="J19" s="2">
        <v>0</v>
      </c>
      <c r="K19" s="2">
        <v>4.7</v>
      </c>
      <c r="L19" s="2">
        <v>4.5</v>
      </c>
      <c r="M19" s="2">
        <v>34</v>
      </c>
      <c r="N19" s="4" t="s">
        <v>19</v>
      </c>
    </row>
    <row r="20" spans="1:17" ht="30" x14ac:dyDescent="0.25">
      <c r="A20" s="4" t="s">
        <v>52</v>
      </c>
      <c r="B20" s="5">
        <v>46238</v>
      </c>
      <c r="C20" s="4" t="s">
        <v>25</v>
      </c>
      <c r="D20" s="4" t="s">
        <v>33</v>
      </c>
      <c r="E20" s="4" t="s">
        <v>27</v>
      </c>
      <c r="F20" s="4" t="s">
        <v>34</v>
      </c>
      <c r="G20" s="4" t="s">
        <v>23</v>
      </c>
      <c r="H20" s="2">
        <v>26.3</v>
      </c>
      <c r="I20" s="2">
        <v>840</v>
      </c>
      <c r="J20" s="2">
        <v>90</v>
      </c>
      <c r="K20" s="2">
        <v>4.9000000000000004</v>
      </c>
      <c r="L20" s="2">
        <v>4.8</v>
      </c>
      <c r="M20" s="2">
        <v>61</v>
      </c>
      <c r="N20" s="4" t="s">
        <v>19</v>
      </c>
    </row>
    <row r="21" spans="1:17" ht="30" x14ac:dyDescent="0.25">
      <c r="A21" s="4" t="s">
        <v>53</v>
      </c>
      <c r="B21" s="5">
        <v>46238</v>
      </c>
      <c r="C21" s="4" t="s">
        <v>42</v>
      </c>
      <c r="D21" s="4" t="s">
        <v>38</v>
      </c>
      <c r="E21" s="4" t="s">
        <v>2</v>
      </c>
      <c r="F21" s="4" t="s">
        <v>17</v>
      </c>
      <c r="G21" s="4" t="s">
        <v>18</v>
      </c>
      <c r="H21" s="2">
        <v>5.0999999999999996</v>
      </c>
      <c r="I21" s="2">
        <v>115</v>
      </c>
      <c r="J21" s="2">
        <v>10</v>
      </c>
      <c r="K21" s="2">
        <v>4.5</v>
      </c>
      <c r="L21" s="2">
        <v>4.4000000000000004</v>
      </c>
      <c r="M21" s="2">
        <v>19</v>
      </c>
      <c r="N21" s="4" t="s">
        <v>19</v>
      </c>
      <c r="P21" s="13" t="s">
        <v>120</v>
      </c>
      <c r="Q21" t="s">
        <v>91</v>
      </c>
    </row>
    <row r="22" spans="1:17" ht="30" x14ac:dyDescent="0.25">
      <c r="A22" s="4" t="s">
        <v>54</v>
      </c>
      <c r="B22" s="5">
        <v>46238</v>
      </c>
      <c r="C22" s="4" t="s">
        <v>29</v>
      </c>
      <c r="D22" s="4" t="s">
        <v>16</v>
      </c>
      <c r="E22" s="4" t="s">
        <v>2</v>
      </c>
      <c r="F22" s="4" t="s">
        <v>17</v>
      </c>
      <c r="G22" s="4" t="s">
        <v>18</v>
      </c>
      <c r="H22" s="2">
        <v>9.3000000000000007</v>
      </c>
      <c r="I22" s="2">
        <v>275</v>
      </c>
      <c r="J22" s="2">
        <v>25</v>
      </c>
      <c r="K22" s="2">
        <v>4.5999999999999996</v>
      </c>
      <c r="L22" s="2">
        <v>4.7</v>
      </c>
      <c r="M22" s="2">
        <v>30</v>
      </c>
      <c r="N22" s="4" t="s">
        <v>19</v>
      </c>
      <c r="P22" s="16">
        <v>46235</v>
      </c>
      <c r="Q22" s="15">
        <v>1950</v>
      </c>
    </row>
    <row r="23" spans="1:17" ht="30" x14ac:dyDescent="0.25">
      <c r="A23" s="4" t="s">
        <v>55</v>
      </c>
      <c r="B23" s="5">
        <v>46238</v>
      </c>
      <c r="C23" s="4" t="s">
        <v>32</v>
      </c>
      <c r="D23" s="4" t="s">
        <v>26</v>
      </c>
      <c r="E23" s="4" t="s">
        <v>27</v>
      </c>
      <c r="F23" s="4" t="s">
        <v>22</v>
      </c>
      <c r="G23" s="4" t="s">
        <v>23</v>
      </c>
      <c r="H23" s="2">
        <v>21.8</v>
      </c>
      <c r="I23" s="2">
        <v>650</v>
      </c>
      <c r="J23" s="2">
        <v>75</v>
      </c>
      <c r="K23" s="2">
        <v>4.7</v>
      </c>
      <c r="L23" s="2">
        <v>4.5</v>
      </c>
      <c r="M23" s="2">
        <v>50</v>
      </c>
      <c r="N23" s="4" t="s">
        <v>19</v>
      </c>
      <c r="P23" s="16">
        <v>46236</v>
      </c>
      <c r="Q23" s="15">
        <v>2040</v>
      </c>
    </row>
    <row r="24" spans="1:17" ht="30" x14ac:dyDescent="0.25">
      <c r="A24" s="4" t="s">
        <v>56</v>
      </c>
      <c r="B24" s="5">
        <v>46239</v>
      </c>
      <c r="C24" s="4" t="s">
        <v>36</v>
      </c>
      <c r="D24" s="4" t="s">
        <v>16</v>
      </c>
      <c r="E24" s="4" t="s">
        <v>2</v>
      </c>
      <c r="F24" s="4" t="s">
        <v>17</v>
      </c>
      <c r="G24" s="4" t="s">
        <v>30</v>
      </c>
      <c r="H24" s="2">
        <v>7.6</v>
      </c>
      <c r="I24" s="2">
        <v>225</v>
      </c>
      <c r="J24" s="2">
        <v>0</v>
      </c>
      <c r="K24" s="2">
        <v>4.4000000000000004</v>
      </c>
      <c r="L24" s="2">
        <v>4.3</v>
      </c>
      <c r="M24" s="2">
        <v>26</v>
      </c>
      <c r="N24" s="4" t="s">
        <v>19</v>
      </c>
      <c r="P24" s="16">
        <v>46237</v>
      </c>
      <c r="Q24" s="15">
        <v>2215</v>
      </c>
    </row>
    <row r="25" spans="1:17" ht="30" x14ac:dyDescent="0.25">
      <c r="A25" s="4" t="s">
        <v>57</v>
      </c>
      <c r="B25" s="5">
        <v>46239</v>
      </c>
      <c r="C25" s="4" t="s">
        <v>15</v>
      </c>
      <c r="D25" s="4" t="s">
        <v>38</v>
      </c>
      <c r="E25" s="4" t="s">
        <v>2</v>
      </c>
      <c r="F25" s="4" t="s">
        <v>22</v>
      </c>
      <c r="G25" s="4" t="s">
        <v>18</v>
      </c>
      <c r="H25" s="2">
        <v>3.2</v>
      </c>
      <c r="I25" s="2">
        <v>80</v>
      </c>
      <c r="J25" s="2">
        <v>5</v>
      </c>
      <c r="K25" s="2">
        <v>4.5</v>
      </c>
      <c r="L25" s="2">
        <v>4.2</v>
      </c>
      <c r="M25" s="2">
        <v>14</v>
      </c>
      <c r="N25" s="4" t="s">
        <v>19</v>
      </c>
      <c r="P25" s="16">
        <v>46238</v>
      </c>
      <c r="Q25" s="15">
        <v>2385</v>
      </c>
    </row>
    <row r="26" spans="1:17" ht="30" x14ac:dyDescent="0.25">
      <c r="A26" s="4" t="s">
        <v>58</v>
      </c>
      <c r="B26" s="5">
        <v>46239</v>
      </c>
      <c r="C26" s="4" t="s">
        <v>21</v>
      </c>
      <c r="D26" s="4" t="s">
        <v>33</v>
      </c>
      <c r="E26" s="4" t="s">
        <v>2</v>
      </c>
      <c r="F26" s="4" t="s">
        <v>34</v>
      </c>
      <c r="G26" s="4" t="s">
        <v>23</v>
      </c>
      <c r="H26" s="2">
        <v>13.7</v>
      </c>
      <c r="I26" s="2">
        <v>525</v>
      </c>
      <c r="J26" s="2">
        <v>45</v>
      </c>
      <c r="K26" s="2">
        <v>4.9000000000000004</v>
      </c>
      <c r="L26" s="2">
        <v>4.9000000000000004</v>
      </c>
      <c r="M26" s="2">
        <v>42</v>
      </c>
      <c r="N26" s="4" t="s">
        <v>19</v>
      </c>
      <c r="P26" s="16">
        <v>46239</v>
      </c>
      <c r="Q26" s="15">
        <v>1570</v>
      </c>
    </row>
    <row r="27" spans="1:17" ht="30" x14ac:dyDescent="0.25">
      <c r="A27" s="4" t="s">
        <v>59</v>
      </c>
      <c r="B27" s="5">
        <v>46239</v>
      </c>
      <c r="C27" s="4" t="s">
        <v>25</v>
      </c>
      <c r="D27" s="4" t="s">
        <v>16</v>
      </c>
      <c r="E27" s="4" t="s">
        <v>2</v>
      </c>
      <c r="F27" s="4" t="s">
        <v>17</v>
      </c>
      <c r="G27" s="4" t="s">
        <v>18</v>
      </c>
      <c r="H27" s="2">
        <v>11.4</v>
      </c>
      <c r="I27" s="2">
        <v>335</v>
      </c>
      <c r="J27" s="2">
        <v>30</v>
      </c>
      <c r="K27" s="2">
        <v>4.8</v>
      </c>
      <c r="L27" s="2">
        <v>4.7</v>
      </c>
      <c r="M27" s="2">
        <v>36</v>
      </c>
      <c r="N27" s="4" t="s">
        <v>19</v>
      </c>
      <c r="P27" s="16">
        <v>46240</v>
      </c>
      <c r="Q27" s="15">
        <v>1965</v>
      </c>
    </row>
    <row r="28" spans="1:17" ht="30" x14ac:dyDescent="0.25">
      <c r="A28" s="4" t="s">
        <v>60</v>
      </c>
      <c r="B28" s="5">
        <v>46239</v>
      </c>
      <c r="C28" s="4" t="s">
        <v>29</v>
      </c>
      <c r="D28" s="4" t="s">
        <v>16</v>
      </c>
      <c r="E28" s="4" t="s">
        <v>2</v>
      </c>
      <c r="F28" s="4" t="s">
        <v>22</v>
      </c>
      <c r="G28" s="4" t="s">
        <v>30</v>
      </c>
      <c r="H28" s="2">
        <v>5.9</v>
      </c>
      <c r="I28" s="2">
        <v>165</v>
      </c>
      <c r="J28" s="2">
        <v>0</v>
      </c>
      <c r="K28" s="2">
        <v>4.3</v>
      </c>
      <c r="L28" s="2">
        <v>4.0999999999999996</v>
      </c>
      <c r="M28" s="2">
        <v>21</v>
      </c>
      <c r="N28" s="4" t="s">
        <v>50</v>
      </c>
      <c r="P28" s="16">
        <v>46241</v>
      </c>
      <c r="Q28" s="15">
        <v>2505</v>
      </c>
    </row>
    <row r="29" spans="1:17" ht="30" x14ac:dyDescent="0.25">
      <c r="A29" s="4" t="s">
        <v>61</v>
      </c>
      <c r="B29" s="5">
        <v>46239</v>
      </c>
      <c r="C29" s="4" t="s">
        <v>32</v>
      </c>
      <c r="D29" s="4" t="s">
        <v>16</v>
      </c>
      <c r="E29" s="4" t="s">
        <v>2</v>
      </c>
      <c r="F29" s="4" t="s">
        <v>17</v>
      </c>
      <c r="G29" s="4" t="s">
        <v>18</v>
      </c>
      <c r="H29" s="2">
        <v>8.1999999999999993</v>
      </c>
      <c r="I29" s="2">
        <v>240</v>
      </c>
      <c r="J29" s="2">
        <v>20</v>
      </c>
      <c r="K29" s="2">
        <v>4.5999999999999996</v>
      </c>
      <c r="L29" s="2">
        <v>4.5</v>
      </c>
      <c r="M29" s="2">
        <v>27</v>
      </c>
      <c r="N29" s="4" t="s">
        <v>19</v>
      </c>
      <c r="P29" s="16">
        <v>46242</v>
      </c>
      <c r="Q29" s="15">
        <v>2167</v>
      </c>
    </row>
    <row r="30" spans="1:17" ht="30" x14ac:dyDescent="0.25">
      <c r="A30" s="4" t="s">
        <v>62</v>
      </c>
      <c r="B30" s="5">
        <v>46240</v>
      </c>
      <c r="C30" s="4" t="s">
        <v>42</v>
      </c>
      <c r="D30" s="4" t="s">
        <v>33</v>
      </c>
      <c r="E30" s="4" t="s">
        <v>27</v>
      </c>
      <c r="F30" s="4" t="s">
        <v>34</v>
      </c>
      <c r="G30" s="4" t="s">
        <v>23</v>
      </c>
      <c r="H30" s="2">
        <v>19.600000000000001</v>
      </c>
      <c r="I30" s="2">
        <v>610</v>
      </c>
      <c r="J30" s="2">
        <v>60</v>
      </c>
      <c r="K30" s="2">
        <v>4.8</v>
      </c>
      <c r="L30" s="2">
        <v>4.8</v>
      </c>
      <c r="M30" s="2">
        <v>47</v>
      </c>
      <c r="N30" s="4" t="s">
        <v>19</v>
      </c>
      <c r="P30" s="16">
        <v>46243</v>
      </c>
      <c r="Q30" s="15">
        <v>1245</v>
      </c>
    </row>
    <row r="31" spans="1:17" ht="30" x14ac:dyDescent="0.25">
      <c r="A31" s="4" t="s">
        <v>63</v>
      </c>
      <c r="B31" s="5">
        <v>46240</v>
      </c>
      <c r="C31" s="4" t="s">
        <v>36</v>
      </c>
      <c r="D31" s="4" t="s">
        <v>38</v>
      </c>
      <c r="E31" s="4" t="s">
        <v>2</v>
      </c>
      <c r="F31" s="4" t="s">
        <v>17</v>
      </c>
      <c r="G31" s="4" t="s">
        <v>18</v>
      </c>
      <c r="H31" s="2">
        <v>4.2</v>
      </c>
      <c r="I31" s="2">
        <v>95</v>
      </c>
      <c r="J31" s="2">
        <v>5</v>
      </c>
      <c r="K31" s="2">
        <v>4.5</v>
      </c>
      <c r="L31" s="2">
        <v>4.4000000000000004</v>
      </c>
      <c r="M31" s="2">
        <v>17</v>
      </c>
      <c r="N31" s="4" t="s">
        <v>19</v>
      </c>
      <c r="P31" s="16" t="s">
        <v>121</v>
      </c>
      <c r="Q31" s="15">
        <v>18042</v>
      </c>
    </row>
    <row r="32" spans="1:17" ht="30" x14ac:dyDescent="0.25">
      <c r="A32" s="4" t="s">
        <v>64</v>
      </c>
      <c r="B32" s="5">
        <v>46240</v>
      </c>
      <c r="C32" s="4" t="s">
        <v>15</v>
      </c>
      <c r="D32" s="4" t="s">
        <v>26</v>
      </c>
      <c r="E32" s="4" t="s">
        <v>27</v>
      </c>
      <c r="F32" s="4" t="s">
        <v>17</v>
      </c>
      <c r="G32" s="4" t="s">
        <v>23</v>
      </c>
      <c r="H32" s="2">
        <v>25.8</v>
      </c>
      <c r="I32" s="2">
        <v>795</v>
      </c>
      <c r="J32" s="2">
        <v>85</v>
      </c>
      <c r="K32" s="2">
        <v>4.9000000000000004</v>
      </c>
      <c r="L32" s="2">
        <v>4.8</v>
      </c>
      <c r="M32" s="2">
        <v>59</v>
      </c>
      <c r="N32" s="4" t="s">
        <v>19</v>
      </c>
    </row>
    <row r="33" spans="1:17" ht="30" x14ac:dyDescent="0.25">
      <c r="A33" s="4" t="s">
        <v>65</v>
      </c>
      <c r="B33" s="5">
        <v>46240</v>
      </c>
      <c r="C33" s="4" t="s">
        <v>21</v>
      </c>
      <c r="D33" s="4" t="s">
        <v>16</v>
      </c>
      <c r="E33" s="4" t="s">
        <v>2</v>
      </c>
      <c r="F33" s="4" t="s">
        <v>22</v>
      </c>
      <c r="G33" s="4" t="s">
        <v>18</v>
      </c>
      <c r="H33" s="2">
        <v>9.1</v>
      </c>
      <c r="I33" s="2">
        <v>270</v>
      </c>
      <c r="J33" s="2">
        <v>30</v>
      </c>
      <c r="K33" s="2">
        <v>4.5999999999999996</v>
      </c>
      <c r="L33" s="2">
        <v>4.5</v>
      </c>
      <c r="M33" s="2">
        <v>30</v>
      </c>
      <c r="N33" s="4" t="s">
        <v>19</v>
      </c>
      <c r="P33" s="13" t="s">
        <v>120</v>
      </c>
      <c r="Q33" t="s">
        <v>87</v>
      </c>
    </row>
    <row r="34" spans="1:17" ht="30" x14ac:dyDescent="0.25">
      <c r="A34" s="4" t="s">
        <v>66</v>
      </c>
      <c r="B34" s="5">
        <v>46240</v>
      </c>
      <c r="C34" s="4" t="s">
        <v>25</v>
      </c>
      <c r="D34" s="4" t="s">
        <v>16</v>
      </c>
      <c r="E34" s="4" t="s">
        <v>2</v>
      </c>
      <c r="F34" s="4" t="s">
        <v>17</v>
      </c>
      <c r="G34" s="4" t="s">
        <v>30</v>
      </c>
      <c r="H34" s="2">
        <v>6.7</v>
      </c>
      <c r="I34" s="2">
        <v>195</v>
      </c>
      <c r="J34" s="2">
        <v>0</v>
      </c>
      <c r="K34" s="2">
        <v>4.4000000000000004</v>
      </c>
      <c r="L34" s="2">
        <v>4.3</v>
      </c>
      <c r="M34" s="2">
        <v>23</v>
      </c>
      <c r="N34" s="4" t="s">
        <v>19</v>
      </c>
      <c r="P34" s="14" t="s">
        <v>23</v>
      </c>
      <c r="Q34" s="15">
        <v>17</v>
      </c>
    </row>
    <row r="35" spans="1:17" ht="30" x14ac:dyDescent="0.25">
      <c r="A35" s="4" t="s">
        <v>67</v>
      </c>
      <c r="B35" s="5">
        <v>46241</v>
      </c>
      <c r="C35" s="4" t="s">
        <v>29</v>
      </c>
      <c r="D35" s="4" t="s">
        <v>33</v>
      </c>
      <c r="E35" s="4" t="s">
        <v>2</v>
      </c>
      <c r="F35" s="4" t="s">
        <v>34</v>
      </c>
      <c r="G35" s="4" t="s">
        <v>23</v>
      </c>
      <c r="H35" s="2">
        <v>12.8</v>
      </c>
      <c r="I35" s="2">
        <v>490</v>
      </c>
      <c r="J35" s="2">
        <v>40</v>
      </c>
      <c r="K35" s="2">
        <v>4.9000000000000004</v>
      </c>
      <c r="L35" s="2">
        <v>4.9000000000000004</v>
      </c>
      <c r="M35" s="2">
        <v>39</v>
      </c>
      <c r="N35" s="4" t="s">
        <v>19</v>
      </c>
      <c r="P35" s="14" t="s">
        <v>30</v>
      </c>
      <c r="Q35" s="15">
        <v>10</v>
      </c>
    </row>
    <row r="36" spans="1:17" ht="30" x14ac:dyDescent="0.25">
      <c r="A36" s="4" t="s">
        <v>68</v>
      </c>
      <c r="B36" s="5">
        <v>46241</v>
      </c>
      <c r="C36" s="4" t="s">
        <v>32</v>
      </c>
      <c r="D36" s="4" t="s">
        <v>16</v>
      </c>
      <c r="E36" s="4" t="s">
        <v>2</v>
      </c>
      <c r="F36" s="4" t="s">
        <v>17</v>
      </c>
      <c r="G36" s="4" t="s">
        <v>18</v>
      </c>
      <c r="H36" s="2">
        <v>7.5</v>
      </c>
      <c r="I36" s="2">
        <v>220</v>
      </c>
      <c r="J36" s="2">
        <v>15</v>
      </c>
      <c r="K36" s="2">
        <v>4.7</v>
      </c>
      <c r="L36" s="2">
        <v>4.5999999999999996</v>
      </c>
      <c r="M36" s="2">
        <v>25</v>
      </c>
      <c r="N36" s="4" t="s">
        <v>19</v>
      </c>
      <c r="P36" s="14" t="s">
        <v>18</v>
      </c>
      <c r="Q36" s="15">
        <v>23</v>
      </c>
    </row>
    <row r="37" spans="1:17" ht="30" x14ac:dyDescent="0.25">
      <c r="A37" s="4" t="s">
        <v>69</v>
      </c>
      <c r="B37" s="5">
        <v>46241</v>
      </c>
      <c r="C37" s="4" t="s">
        <v>36</v>
      </c>
      <c r="D37" s="4" t="s">
        <v>26</v>
      </c>
      <c r="E37" s="4" t="s">
        <v>27</v>
      </c>
      <c r="F37" s="4" t="s">
        <v>17</v>
      </c>
      <c r="G37" s="4" t="s">
        <v>23</v>
      </c>
      <c r="H37" s="2">
        <v>23.6</v>
      </c>
      <c r="I37" s="2">
        <v>705</v>
      </c>
      <c r="J37" s="2">
        <v>70</v>
      </c>
      <c r="K37" s="2">
        <v>4.8</v>
      </c>
      <c r="L37" s="2">
        <v>4.7</v>
      </c>
      <c r="M37" s="2">
        <v>54</v>
      </c>
      <c r="N37" s="4" t="s">
        <v>19</v>
      </c>
      <c r="P37" s="14" t="s">
        <v>121</v>
      </c>
      <c r="Q37" s="15">
        <v>50</v>
      </c>
    </row>
    <row r="38" spans="1:17" ht="30" x14ac:dyDescent="0.25">
      <c r="A38" s="4" t="s">
        <v>70</v>
      </c>
      <c r="B38" s="5">
        <v>46241</v>
      </c>
      <c r="C38" s="4" t="s">
        <v>15</v>
      </c>
      <c r="D38" s="4" t="s">
        <v>16</v>
      </c>
      <c r="E38" s="4" t="s">
        <v>2</v>
      </c>
      <c r="F38" s="4" t="s">
        <v>22</v>
      </c>
      <c r="G38" s="4" t="s">
        <v>18</v>
      </c>
      <c r="H38" s="2">
        <v>5.3</v>
      </c>
      <c r="I38" s="2">
        <v>155</v>
      </c>
      <c r="J38" s="2">
        <v>20</v>
      </c>
      <c r="K38" s="2">
        <v>4.5</v>
      </c>
      <c r="L38" s="2">
        <v>4.4000000000000004</v>
      </c>
      <c r="M38" s="2">
        <v>19</v>
      </c>
      <c r="N38" s="4" t="s">
        <v>19</v>
      </c>
    </row>
    <row r="39" spans="1:17" ht="30" x14ac:dyDescent="0.25">
      <c r="A39" s="4" t="s">
        <v>71</v>
      </c>
      <c r="B39" s="5">
        <v>46241</v>
      </c>
      <c r="C39" s="4" t="s">
        <v>21</v>
      </c>
      <c r="D39" s="4" t="s">
        <v>38</v>
      </c>
      <c r="E39" s="4" t="s">
        <v>2</v>
      </c>
      <c r="F39" s="4" t="s">
        <v>17</v>
      </c>
      <c r="G39" s="4" t="s">
        <v>30</v>
      </c>
      <c r="H39" s="2">
        <v>4.7</v>
      </c>
      <c r="I39" s="2">
        <v>110</v>
      </c>
      <c r="J39" s="2">
        <v>0</v>
      </c>
      <c r="K39" s="2">
        <v>4.4000000000000004</v>
      </c>
      <c r="L39" s="2">
        <v>4.2</v>
      </c>
      <c r="M39" s="2">
        <v>18</v>
      </c>
      <c r="N39" s="4" t="s">
        <v>50</v>
      </c>
    </row>
    <row r="40" spans="1:17" ht="30" x14ac:dyDescent="0.25">
      <c r="A40" s="4" t="s">
        <v>72</v>
      </c>
      <c r="B40" s="5">
        <v>46241</v>
      </c>
      <c r="C40" s="4" t="s">
        <v>25</v>
      </c>
      <c r="D40" s="4" t="s">
        <v>16</v>
      </c>
      <c r="E40" s="4" t="s">
        <v>2</v>
      </c>
      <c r="F40" s="4" t="s">
        <v>34</v>
      </c>
      <c r="G40" s="4" t="s">
        <v>23</v>
      </c>
      <c r="H40" s="2">
        <v>10.9</v>
      </c>
      <c r="I40" s="2">
        <v>330</v>
      </c>
      <c r="J40" s="2">
        <v>25</v>
      </c>
      <c r="K40" s="2">
        <v>4.8</v>
      </c>
      <c r="L40" s="2">
        <v>4.7</v>
      </c>
      <c r="M40" s="2">
        <v>35</v>
      </c>
      <c r="N40" s="4" t="s">
        <v>19</v>
      </c>
    </row>
    <row r="41" spans="1:17" ht="30" x14ac:dyDescent="0.25">
      <c r="A41" s="4" t="s">
        <v>73</v>
      </c>
      <c r="B41" s="5">
        <v>46241</v>
      </c>
      <c r="C41" s="4" t="s">
        <v>42</v>
      </c>
      <c r="D41" s="4" t="s">
        <v>16</v>
      </c>
      <c r="E41" s="4" t="s">
        <v>27</v>
      </c>
      <c r="F41" s="4" t="s">
        <v>17</v>
      </c>
      <c r="G41" s="4" t="s">
        <v>18</v>
      </c>
      <c r="H41" s="2">
        <v>16.8</v>
      </c>
      <c r="I41" s="2">
        <v>495</v>
      </c>
      <c r="J41" s="2">
        <v>50</v>
      </c>
      <c r="K41" s="2">
        <v>4.7</v>
      </c>
      <c r="L41" s="2">
        <v>4.5999999999999996</v>
      </c>
      <c r="M41" s="2">
        <v>40</v>
      </c>
      <c r="N41" s="4" t="s">
        <v>19</v>
      </c>
    </row>
    <row r="42" spans="1:17" ht="30" x14ac:dyDescent="0.25">
      <c r="A42" s="4" t="s">
        <v>74</v>
      </c>
      <c r="B42" s="5">
        <v>46242</v>
      </c>
      <c r="C42" s="4" t="s">
        <v>29</v>
      </c>
      <c r="D42" s="4" t="s">
        <v>38</v>
      </c>
      <c r="E42" s="4" t="s">
        <v>2</v>
      </c>
      <c r="F42" s="4" t="s">
        <v>22</v>
      </c>
      <c r="G42" s="4" t="s">
        <v>18</v>
      </c>
      <c r="H42" s="2">
        <v>3.9</v>
      </c>
      <c r="I42" s="2">
        <v>92</v>
      </c>
      <c r="J42" s="2">
        <v>5</v>
      </c>
      <c r="K42" s="2">
        <v>4.5</v>
      </c>
      <c r="L42" s="2">
        <v>4.3</v>
      </c>
      <c r="M42" s="2">
        <v>15</v>
      </c>
      <c r="N42" s="4" t="s">
        <v>19</v>
      </c>
    </row>
    <row r="43" spans="1:17" ht="30" x14ac:dyDescent="0.25">
      <c r="A43" s="4" t="s">
        <v>75</v>
      </c>
      <c r="B43" s="5">
        <v>46242</v>
      </c>
      <c r="C43" s="4" t="s">
        <v>32</v>
      </c>
      <c r="D43" s="4" t="s">
        <v>33</v>
      </c>
      <c r="E43" s="4" t="s">
        <v>2</v>
      </c>
      <c r="F43" s="4" t="s">
        <v>34</v>
      </c>
      <c r="G43" s="4" t="s">
        <v>23</v>
      </c>
      <c r="H43" s="2">
        <v>15.2</v>
      </c>
      <c r="I43" s="2">
        <v>575</v>
      </c>
      <c r="J43" s="2">
        <v>50</v>
      </c>
      <c r="K43" s="2">
        <v>4.9000000000000004</v>
      </c>
      <c r="L43" s="2">
        <v>4.8</v>
      </c>
      <c r="M43" s="2">
        <v>45</v>
      </c>
      <c r="N43" s="4" t="s">
        <v>19</v>
      </c>
    </row>
    <row r="44" spans="1:17" ht="30" x14ac:dyDescent="0.25">
      <c r="A44" s="4" t="s">
        <v>76</v>
      </c>
      <c r="B44" s="5">
        <v>46242</v>
      </c>
      <c r="C44" s="4" t="s">
        <v>36</v>
      </c>
      <c r="D44" s="4" t="s">
        <v>16</v>
      </c>
      <c r="E44" s="4" t="s">
        <v>2</v>
      </c>
      <c r="F44" s="4" t="s">
        <v>17</v>
      </c>
      <c r="G44" s="4" t="s">
        <v>30</v>
      </c>
      <c r="H44" s="2">
        <v>8.8000000000000007</v>
      </c>
      <c r="I44" s="2">
        <v>255</v>
      </c>
      <c r="J44" s="2">
        <v>0</v>
      </c>
      <c r="K44" s="2">
        <v>4.5999999999999996</v>
      </c>
      <c r="L44" s="2">
        <v>4.5</v>
      </c>
      <c r="M44" s="2">
        <v>28</v>
      </c>
      <c r="N44" s="4" t="s">
        <v>19</v>
      </c>
    </row>
    <row r="45" spans="1:17" ht="30" x14ac:dyDescent="0.25">
      <c r="A45" s="4" t="s">
        <v>77</v>
      </c>
      <c r="B45" s="5">
        <v>46242</v>
      </c>
      <c r="C45" s="4" t="s">
        <v>15</v>
      </c>
      <c r="D45" s="4" t="s">
        <v>16</v>
      </c>
      <c r="E45" s="4" t="s">
        <v>2</v>
      </c>
      <c r="F45" s="4" t="s">
        <v>17</v>
      </c>
      <c r="G45" s="4" t="s">
        <v>18</v>
      </c>
      <c r="H45" s="2">
        <v>10.1</v>
      </c>
      <c r="I45" s="2">
        <v>300</v>
      </c>
      <c r="J45" s="2">
        <v>25</v>
      </c>
      <c r="K45" s="2">
        <v>4.8</v>
      </c>
      <c r="L45" s="2">
        <v>4.7</v>
      </c>
      <c r="M45" s="2">
        <v>33</v>
      </c>
      <c r="N45" s="4" t="s">
        <v>19</v>
      </c>
    </row>
    <row r="46" spans="1:17" ht="30" x14ac:dyDescent="0.25">
      <c r="A46" s="4" t="s">
        <v>78</v>
      </c>
      <c r="B46" s="5">
        <v>46242</v>
      </c>
      <c r="C46" s="4" t="s">
        <v>21</v>
      </c>
      <c r="D46" s="4" t="s">
        <v>26</v>
      </c>
      <c r="E46" s="4" t="s">
        <v>27</v>
      </c>
      <c r="F46" s="4" t="s">
        <v>34</v>
      </c>
      <c r="G46" s="4" t="s">
        <v>23</v>
      </c>
      <c r="H46" s="2">
        <v>27.4</v>
      </c>
      <c r="I46" s="2">
        <v>850</v>
      </c>
      <c r="J46" s="2">
        <v>100</v>
      </c>
      <c r="K46" s="2">
        <v>4.9000000000000004</v>
      </c>
      <c r="L46" s="2">
        <v>4.9000000000000004</v>
      </c>
      <c r="M46" s="2">
        <v>64</v>
      </c>
      <c r="N46" s="4" t="s">
        <v>19</v>
      </c>
    </row>
    <row r="47" spans="1:17" ht="30" x14ac:dyDescent="0.25">
      <c r="A47" s="4" t="s">
        <v>79</v>
      </c>
      <c r="B47" s="5">
        <v>46242</v>
      </c>
      <c r="C47" s="4" t="s">
        <v>25</v>
      </c>
      <c r="D47" s="4" t="s">
        <v>38</v>
      </c>
      <c r="E47" s="4" t="s">
        <v>2</v>
      </c>
      <c r="F47" s="4" t="s">
        <v>22</v>
      </c>
      <c r="G47" s="4" t="s">
        <v>30</v>
      </c>
      <c r="H47" s="2">
        <v>4.0999999999999996</v>
      </c>
      <c r="I47" s="2">
        <v>95</v>
      </c>
      <c r="J47" s="2">
        <v>0</v>
      </c>
      <c r="K47" s="2">
        <v>4.2</v>
      </c>
      <c r="L47" s="2">
        <v>4</v>
      </c>
      <c r="M47" s="2">
        <v>17</v>
      </c>
      <c r="N47" s="4" t="s">
        <v>19</v>
      </c>
    </row>
    <row r="48" spans="1:17" ht="30" x14ac:dyDescent="0.25">
      <c r="A48" s="4" t="s">
        <v>80</v>
      </c>
      <c r="B48" s="5">
        <v>46243</v>
      </c>
      <c r="C48" s="4" t="s">
        <v>29</v>
      </c>
      <c r="D48" s="4" t="s">
        <v>16</v>
      </c>
      <c r="E48" s="4" t="s">
        <v>2</v>
      </c>
      <c r="F48" s="4" t="s">
        <v>17</v>
      </c>
      <c r="G48" s="4" t="s">
        <v>18</v>
      </c>
      <c r="H48" s="2">
        <v>7.9</v>
      </c>
      <c r="I48" s="2">
        <v>230</v>
      </c>
      <c r="J48" s="2">
        <v>20</v>
      </c>
      <c r="K48" s="2">
        <v>4.7</v>
      </c>
      <c r="L48" s="2">
        <v>4.5999999999999996</v>
      </c>
      <c r="M48" s="2">
        <v>26</v>
      </c>
      <c r="N48" s="4" t="s">
        <v>19</v>
      </c>
    </row>
    <row r="49" spans="1:14" ht="30" x14ac:dyDescent="0.25">
      <c r="A49" s="4" t="s">
        <v>81</v>
      </c>
      <c r="B49" s="5">
        <v>46243</v>
      </c>
      <c r="C49" s="4" t="s">
        <v>32</v>
      </c>
      <c r="D49" s="4" t="s">
        <v>26</v>
      </c>
      <c r="E49" s="4" t="s">
        <v>27</v>
      </c>
      <c r="F49" s="4" t="s">
        <v>17</v>
      </c>
      <c r="G49" s="4" t="s">
        <v>23</v>
      </c>
      <c r="H49" s="2">
        <v>20.5</v>
      </c>
      <c r="I49" s="2">
        <v>625</v>
      </c>
      <c r="J49" s="2">
        <v>65</v>
      </c>
      <c r="K49" s="2">
        <v>4.8</v>
      </c>
      <c r="L49" s="2">
        <v>4.7</v>
      </c>
      <c r="M49" s="2">
        <v>49</v>
      </c>
      <c r="N49" s="4" t="s">
        <v>19</v>
      </c>
    </row>
    <row r="50" spans="1:14" ht="30" x14ac:dyDescent="0.25">
      <c r="A50" s="4" t="s">
        <v>82</v>
      </c>
      <c r="B50" s="5">
        <v>46243</v>
      </c>
      <c r="C50" s="4" t="s">
        <v>42</v>
      </c>
      <c r="D50" s="4" t="s">
        <v>38</v>
      </c>
      <c r="E50" s="4" t="s">
        <v>2</v>
      </c>
      <c r="F50" s="4" t="s">
        <v>22</v>
      </c>
      <c r="G50" s="4" t="s">
        <v>18</v>
      </c>
      <c r="H50" s="2">
        <v>4.8</v>
      </c>
      <c r="I50" s="2">
        <v>105</v>
      </c>
      <c r="J50" s="2">
        <v>10</v>
      </c>
      <c r="K50" s="2">
        <v>4.5999999999999996</v>
      </c>
      <c r="L50" s="2">
        <v>4.4000000000000004</v>
      </c>
      <c r="M50" s="2">
        <v>18</v>
      </c>
      <c r="N50" s="4" t="s">
        <v>19</v>
      </c>
    </row>
    <row r="51" spans="1:14" ht="30" x14ac:dyDescent="0.25">
      <c r="A51" s="4" t="s">
        <v>83</v>
      </c>
      <c r="B51" s="5">
        <v>46243</v>
      </c>
      <c r="C51" s="4" t="s">
        <v>36</v>
      </c>
      <c r="D51" s="4" t="s">
        <v>16</v>
      </c>
      <c r="E51" s="4" t="s">
        <v>2</v>
      </c>
      <c r="F51" s="4" t="s">
        <v>17</v>
      </c>
      <c r="G51" s="4" t="s">
        <v>18</v>
      </c>
      <c r="H51" s="2">
        <v>9.6</v>
      </c>
      <c r="I51" s="2">
        <v>285</v>
      </c>
      <c r="J51" s="2">
        <v>25</v>
      </c>
      <c r="K51" s="2">
        <v>4.7</v>
      </c>
      <c r="L51" s="2">
        <v>4.5999999999999996</v>
      </c>
      <c r="M51" s="2">
        <v>32</v>
      </c>
      <c r="N51" s="4" t="s">
        <v>19</v>
      </c>
    </row>
  </sheetData>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4EB7-F9CB-41D8-A9B3-ACFA7680C953}">
  <dimension ref="A1:C27"/>
  <sheetViews>
    <sheetView showGridLines="0" topLeftCell="A4" workbookViewId="0">
      <selection activeCell="G8" sqref="G8"/>
    </sheetView>
  </sheetViews>
  <sheetFormatPr defaultRowHeight="15" x14ac:dyDescent="0.25"/>
  <cols>
    <col min="1" max="1" width="30.7109375" customWidth="1"/>
    <col min="2" max="2" width="61.28515625" customWidth="1"/>
    <col min="3" max="3" width="10.5703125" customWidth="1"/>
  </cols>
  <sheetData>
    <row r="1" spans="1:3" x14ac:dyDescent="0.25">
      <c r="A1" s="8" t="s">
        <v>84</v>
      </c>
      <c r="B1" s="11" t="s">
        <v>85</v>
      </c>
      <c r="C1" t="s">
        <v>119</v>
      </c>
    </row>
    <row r="2" spans="1:3" x14ac:dyDescent="0.25">
      <c r="A2" s="10" t="s">
        <v>86</v>
      </c>
      <c r="B2" s="12" t="s">
        <v>87</v>
      </c>
      <c r="C2">
        <f>COUNTA(Table1[Ride_ID])</f>
        <v>50</v>
      </c>
    </row>
    <row r="3" spans="1:3" x14ac:dyDescent="0.25">
      <c r="A3" s="10" t="s">
        <v>88</v>
      </c>
      <c r="B3" s="12" t="s">
        <v>89</v>
      </c>
      <c r="C3">
        <f>COUNTIF(Table1[Status],DASHBOARD!N2)</f>
        <v>47</v>
      </c>
    </row>
    <row r="4" spans="1:3" x14ac:dyDescent="0.25">
      <c r="A4" s="10" t="s">
        <v>90</v>
      </c>
      <c r="B4" s="12" t="s">
        <v>91</v>
      </c>
      <c r="C4">
        <f>SUM(Table1[Fare_INR])</f>
        <v>18042</v>
      </c>
    </row>
    <row r="5" spans="1:3" x14ac:dyDescent="0.25">
      <c r="A5" s="10" t="s">
        <v>92</v>
      </c>
      <c r="B5" s="12" t="s">
        <v>93</v>
      </c>
      <c r="C5">
        <f>AVERAGE(Table1[Fare_INR])</f>
        <v>360.84</v>
      </c>
    </row>
    <row r="6" spans="1:3" x14ac:dyDescent="0.25">
      <c r="A6" s="10" t="s">
        <v>94</v>
      </c>
      <c r="B6" s="12" t="s">
        <v>95</v>
      </c>
      <c r="C6">
        <f>AVERAGE(Table1[Customer_Rating])</f>
        <v>4.5640000000000001</v>
      </c>
    </row>
    <row r="9" spans="1:3" x14ac:dyDescent="0.25">
      <c r="A9" s="8" t="s">
        <v>96</v>
      </c>
      <c r="B9" s="8" t="s">
        <v>97</v>
      </c>
    </row>
    <row r="10" spans="1:3" x14ac:dyDescent="0.25">
      <c r="A10" s="9" t="s">
        <v>98</v>
      </c>
      <c r="B10" s="10" t="s">
        <v>99</v>
      </c>
    </row>
    <row r="11" spans="1:3" x14ac:dyDescent="0.25">
      <c r="A11" s="9" t="s">
        <v>100</v>
      </c>
      <c r="B11" s="10" t="s">
        <v>101</v>
      </c>
    </row>
    <row r="12" spans="1:3" x14ac:dyDescent="0.25">
      <c r="A12" s="9" t="s">
        <v>102</v>
      </c>
      <c r="B12" s="10" t="s">
        <v>103</v>
      </c>
    </row>
    <row r="13" spans="1:3" x14ac:dyDescent="0.25">
      <c r="A13" s="9" t="s">
        <v>104</v>
      </c>
      <c r="B13" s="10" t="s">
        <v>105</v>
      </c>
    </row>
    <row r="14" spans="1:3" x14ac:dyDescent="0.25">
      <c r="A14" s="9" t="s">
        <v>106</v>
      </c>
      <c r="B14" s="10" t="s">
        <v>107</v>
      </c>
    </row>
    <row r="15" spans="1:3" x14ac:dyDescent="0.25">
      <c r="A15" s="9" t="s">
        <v>108</v>
      </c>
      <c r="B15" s="10" t="s">
        <v>109</v>
      </c>
    </row>
    <row r="16" spans="1:3" x14ac:dyDescent="0.25">
      <c r="A16" s="9" t="s">
        <v>110</v>
      </c>
      <c r="B16" s="10" t="s">
        <v>111</v>
      </c>
    </row>
    <row r="17" spans="1:2" x14ac:dyDescent="0.25">
      <c r="A17" s="9" t="s">
        <v>112</v>
      </c>
      <c r="B17" s="10" t="s">
        <v>113</v>
      </c>
    </row>
    <row r="19" spans="1:2" ht="18" x14ac:dyDescent="0.25">
      <c r="A19" s="6" t="s">
        <v>114</v>
      </c>
    </row>
    <row r="20" spans="1:2" x14ac:dyDescent="0.25">
      <c r="A20" s="7"/>
    </row>
    <row r="21" spans="1:2" x14ac:dyDescent="0.25">
      <c r="A21" s="7" t="s">
        <v>1</v>
      </c>
    </row>
    <row r="22" spans="1:2" x14ac:dyDescent="0.25">
      <c r="A22" s="7" t="s">
        <v>2</v>
      </c>
    </row>
    <row r="23" spans="1:2" x14ac:dyDescent="0.25">
      <c r="A23" s="7" t="s">
        <v>115</v>
      </c>
    </row>
    <row r="24" spans="1:2" x14ac:dyDescent="0.25">
      <c r="A24" s="7" t="s">
        <v>116</v>
      </c>
    </row>
    <row r="25" spans="1:2" x14ac:dyDescent="0.25">
      <c r="A25" s="7" t="s">
        <v>117</v>
      </c>
    </row>
    <row r="26" spans="1:2" x14ac:dyDescent="0.25">
      <c r="A26" s="7" t="s">
        <v>118</v>
      </c>
    </row>
    <row r="27" spans="1:2" x14ac:dyDescent="0.25">
      <c r="A27" s="7"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CONTENTS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shabnam edakuni</dc:creator>
  <cp:lastModifiedBy>ajukkty@gmail.com</cp:lastModifiedBy>
  <dcterms:created xsi:type="dcterms:W3CDTF">2026-08-10T04:14:19Z</dcterms:created>
  <dcterms:modified xsi:type="dcterms:W3CDTF">2026-08-10T05:58:46Z</dcterms:modified>
</cp:coreProperties>
</file>